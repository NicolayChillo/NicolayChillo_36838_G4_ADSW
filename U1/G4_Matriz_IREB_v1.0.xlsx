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- " sheetId="2" r:id="rId6"/>
    <sheet state="visible" name="Hoja 1" sheetId="3" r:id="rId7"/>
    <sheet state="visible" name="Hoja 2" sheetId="4" r:id="rId8"/>
    <sheet state="visible" name="RECOMENDACIONES - CUC-01" sheetId="5" r:id="rId9"/>
    <sheet state="visible" name="RECOMENDACIONES - CUC-02" sheetId="6" r:id="rId10"/>
    <sheet state="visible" name="RECOMENDACIONES - CUC-03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jeny ruiz:
Control del nivel de acuedo entre las partes Cliente y Desarrollador</t>
      </text>
    </comment>
    <comment authorId="0" ref="I9">
      <text>
        <t xml:space="preserve">jeny ruiz:
Es importante ingresar el archivo plano en formato excel para el cliente y el desarrollador</t>
      </text>
    </comment>
    <comment authorId="0" ref="I7">
      <text>
        <t xml:space="preserve">jeny ruiz:
Se guarda en un archivo Excel los registros que dieron un problema en la actualización.</t>
      </text>
    </comment>
    <comment authorId="0" ref="K9">
      <text>
        <t xml:space="preserve">jeny ruiz:
Es importante ingresar el archivo plano en formato excel para el cliente y el desarrollador</t>
      </text>
    </comment>
    <comment authorId="0" ref="J7">
      <text>
        <t xml:space="preserve">jeny ruiz:
Control del nivel de acuedo entre las partes Cliente y Desarrollador</t>
      </text>
    </comment>
    <comment authorId="0" ref="K7">
      <text>
        <t xml:space="preserve">jeny ruiz:
jeny ruiz:
Posterior a la actualización, se guardaran automáticamente el nombre de usuario, fecha, hora, registro antiguo, registro nuevo.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  <comment authorId="0" ref="C18">
      <text>
        <t xml:space="preserve">jeny ruiz:
Trata todos los asuntos relevantes</t>
      </text>
    </comment>
    <comment authorId="0" ref="C17">
      <text>
        <t xml:space="preserve">jeny ruiz:
El origen del requisito y sus relaciones con otros requisitos  están claros.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C15">
      <text>
        <t xml:space="preserve">jeny ruiz:
Su cumplimiento o no cumplimiento puede der probado con un esfuerzo razonable</t>
      </text>
    </comment>
    <comment authorId="0" ref="C14">
      <text>
        <t xml:space="preserve">jeny ruiz:
Sin contradicciones
</t>
      </text>
    </comment>
    <comment authorId="0" ref="C13">
      <text>
        <t xml:space="preserve">jeny ruiz:
Refleja las espectativas  del implicado
</t>
      </text>
    </comment>
    <comment authorId="0" ref="C12">
      <text>
        <t xml:space="preserve">jeny ruiz:
Toda nueva información  ha sido incorporada</t>
      </text>
    </comment>
    <comment authorId="0" ref="C11">
      <text>
        <t xml:space="preserve">jeny ruiz:
Todos los lectores comprenden de la misma manera, sólo una interpretación</t>
      </text>
    </comment>
    <comment authorId="0" ref="C10">
      <text>
        <t xml:space="preserve">jeny ruiz:
Ponderado por importancia o prioridad</t>
      </text>
    </comment>
    <comment authorId="0" ref="C9">
      <text>
        <t xml:space="preserve">jeny ruiz:
Todos los interesados reconocen que el  requisito es correcto y relevante
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ESPE:
verificable 
</t>
      </text>
    </comment>
    <comment authorId="0" ref="B15">
      <text>
        <t xml:space="preserve">ESPE:
NECESIDAD
</t>
      </text>
    </comment>
    <comment authorId="0" ref="B14">
      <text>
        <t xml:space="preserve">ESPE:
CONSISTENCIA</t>
      </text>
    </comment>
    <comment authorId="0" ref="B13">
      <text>
        <t xml:space="preserve">ESPE:
CORRECCION
</t>
      </text>
    </comment>
    <comment authorId="0" ref="B12">
      <text>
        <t xml:space="preserve">ESPE:
TRAZABILIDAD
</t>
      </text>
    </comment>
    <comment authorId="0" ref="B11">
      <text>
        <t xml:space="preserve">ESPE:
trazabilidad
</t>
      </text>
    </comment>
    <comment authorId="0" ref="B10">
      <text>
        <t xml:space="preserve">ESPE:
TRAZABILIDAD</t>
      </text>
    </comment>
    <comment authorId="0" ref="B9">
      <text>
        <t xml:space="preserve">ESPE:
COMPLETITUD REQUISITO INDIVIDUAL
</t>
      </text>
    </comment>
    <comment authorId="0" ref="B8">
      <text>
        <t xml:space="preserve">ESPE:
COMPLETITUD DOCUMENTO</t>
      </text>
    </comment>
  </commentList>
</comments>
</file>

<file path=xl/sharedStrings.xml><?xml version="1.0" encoding="utf-8"?>
<sst xmlns="http://schemas.openxmlformats.org/spreadsheetml/2006/main" count="326" uniqueCount="103">
  <si>
    <t>MATRIZ PARA COMPROBACIÓN REQUERIMIENTOS DE CALIDAD DE PROYECTO ACADEMICO</t>
  </si>
  <si>
    <t>SISTEMA:</t>
  </si>
  <si>
    <t>Sistema Web “Sacha Amazonic Products”</t>
  </si>
  <si>
    <t>Requerimientos  Funcionales</t>
  </si>
  <si>
    <t>Nº</t>
  </si>
  <si>
    <t>CRITERIOS DE CALIDAD (Documento/Requerimientos)</t>
  </si>
  <si>
    <t>Status
Nivel de Acuerdo</t>
  </si>
  <si>
    <t xml:space="preserve">
CUC-01: Buscar Producto</t>
  </si>
  <si>
    <t>CUC-02: Visualizar Producto</t>
  </si>
  <si>
    <t>CUC-03: Registrarse</t>
  </si>
  <si>
    <t>Agreed</t>
  </si>
  <si>
    <t>NOK</t>
  </si>
  <si>
    <t>1. Videoconferencia de la entrevista
2. Minuto de la entrevista
3. Aceptación por videoconferencia</t>
  </si>
  <si>
    <t>1. Videoconferencia de la entrevista                                                                                                                    2. Minuta de la entrevista
3. Aceptación del prototipo no funcional mediante videoconferencia</t>
  </si>
  <si>
    <t>Ranked</t>
  </si>
  <si>
    <t>1. En la descripción del caso de Uso se especifica la prioridad Alta</t>
  </si>
  <si>
    <t>Unambiguos</t>
  </si>
  <si>
    <t>OK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</si>
  <si>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</si>
  <si>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</si>
  <si>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</si>
  <si>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1. No se han incorporado los últimos cambios pedidos luego del feedback realizado por el cliente</t>
  </si>
  <si>
    <t>1. No se han incorporado los últimos cambios cambios tras 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</si>
  <si>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</si>
  <si>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</si>
  <si>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</si>
  <si>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</si>
  <si>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 xml:space="preserve">1. Documentación basada en modelos: Diagrama de Casos de Uso
2. Usa términos definidos previamente.                                                    3. Palabras repetitivas.                                              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</si>
  <si>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</si>
  <si>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</si>
  <si>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</si>
  <si>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</si>
  <si>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</si>
  <si>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</si>
  <si>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Es claro el origen del requisito y sus relaciones con otros requisitos (matriz de trazabilidad cliente/casos de uso y casos de uso/casos de uso)                           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</si>
  <si>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</si>
  <si>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</si>
  <si>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</si>
  <si>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</si>
  <si>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>Understandability</t>
  </si>
  <si>
    <t>1. Se involucra al cliente
2. Existe glosario de términos</t>
  </si>
  <si>
    <t>1. Se involucra al cliente 
2.Uso de términos respaldado por un glosario de términos</t>
  </si>
  <si>
    <t>Sistema De Gestión De Crianza De Conejos (Hoptolt)</t>
  </si>
  <si>
    <t>FECHA:</t>
  </si>
  <si>
    <t>AUTOR:</t>
  </si>
  <si>
    <t>Nicolay Chillo, Gavilanez Kenny, Cristian Lisintuña</t>
  </si>
  <si>
    <t>REQUERIMIENTOS EVALUADOS :</t>
  </si>
  <si>
    <t>CUC-01: Buscar Producto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</si>
  <si>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</si>
  <si>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</si>
  <si>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</si>
  <si>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</si>
  <si>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</si>
  <si>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</si>
  <si>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</si>
  <si>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</si>
  <si>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</si>
  <si>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</si>
  <si>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</si>
  <si>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</si>
  <si>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>PREGUNTA</t>
  </si>
  <si>
    <t>RECOMENDACIÓN</t>
  </si>
  <si>
    <t xml:space="preserve"> Los requerimientos reflejan las necesidades y deseos del cliente?</t>
  </si>
  <si>
    <t>¿Se han validado y aprobado formalmente todos los entregables de la entrevista (videoconferencia, minuta, acta de aceptación)?</t>
  </si>
  <si>
    <t xml:space="preserve">Organizar una reunion corta con el cliente con el fin de repasar los puntos y validar los mismos. Y respaldar los acuerdos con una firma o una aceptación, ya sea de manera eletronica o física donde se evidencia que se realizo y se llego a un acuerdo. </t>
  </si>
  <si>
    <t>¿Se han definido la prioridad en los casos de uso?</t>
  </si>
  <si>
    <t>No hay contradicciones entre los requerimientos?</t>
  </si>
  <si>
    <t>Realizar una lista de tareas en donde se pueda realizar la prioridad de cada caso de uso con el fin de ayudar a entender cual debe realizarse primero.</t>
  </si>
  <si>
    <t>¿Se ha diseñado el diagrama de Casos de Uso ?</t>
  </si>
  <si>
    <t>Diseñador los Casos de Uso aunque sea de manera básica con el fin de ilustrar de manera gráfica como interactuara el usuario con el sistema.</t>
  </si>
  <si>
    <t>¿Se han definido criterios de aceptación y casos de prueba
 que permitan medir objetivamente el cumplimiento del 
requisito?</t>
  </si>
  <si>
    <t>Diseñar una lista de comprobación para los diversos flujos que puede realizar el sistema con ayuda de casos de prueba fundamentales para corroborar el correcto funcionamiento.</t>
  </si>
  <si>
    <t>¿Se ha tomado en cuenta las funcionalidades dentro de la estimación del costo del proyecto?</t>
  </si>
  <si>
    <t>Revisar que el presupuesto cubra con los tiempos establecidos. Además, realizar una tabla en donde se detalle como se distribuira dicho presupuesto.</t>
  </si>
  <si>
    <t xml:space="preserve"> 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</si>
  <si>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</si>
  <si>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</si>
  <si>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</si>
  <si>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</si>
  <si>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</si>
  <si>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Establecer actas de reunión oficial tras cada sesión de descubrimiento, de modo que quede constancia inequívoca de la aprobación de alcance y contenido por parte de tutor, cliente y equipo.</t>
  </si>
  <si>
    <t>Establecer en los Casos de Uso la prioridad del requisito funcional</t>
  </si>
  <si>
    <t>Establecer el diagrama de casos de uso para establecer la activad de cada rol</t>
  </si>
  <si>
    <t>Elaborar una lista de Criterios de Aceptación en formato Given-When-Then, asociada a pruebas unitarias o de aceptación automatizadas, de modo que cada criterio quede cubierto por al menos un caso de prueba.</t>
  </si>
  <si>
    <t>Implementar un modelo de estimación progresiva por caso de uso, ya que a medida que el análisis de cada caso de uso se complete, se debe devivar su esfuerzo técnico en horas y su costo asociado.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</si>
  <si>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</si>
  <si>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</si>
  <si>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</si>
  <si>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</si>
  <si>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</si>
  <si>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</si>
  <si>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Agendar una breve reunión de validación con el cliente o enviar el acta de aceptación formal junto con el prototipo no funcional para su firma y conformidad.</t>
  </si>
  <si>
    <t>Todos los requerimientos han sido acordados con todos los interesados?</t>
  </si>
  <si>
    <t>Todos los requerimientos  han sido acordados con todos los interesados?</t>
  </si>
  <si>
    <t>Implementar una técnica de priorización formal(ejemplo: Escala del 1 al 5) e incluir un atributo formal de "Priorida" en el encabezado de las fichas de especificación de cada caso de uso</t>
  </si>
  <si>
    <t>Elaborara y/o actualizar el diagrama UML de casos de uso asegurando la correcta representación de actores, relaciones y límites del sistema.</t>
  </si>
  <si>
    <t>Diseñar e integrar una matriz de casos de prueba para cada caso de uso, definiendo escenarios de éxito, alterinativos y criterios de aceptación necesarios para su validación.</t>
  </si>
  <si>
    <t>Construir una matriz de estimación de esfuerzo y costos desglosada para cada caso de uso.</t>
  </si>
  <si>
    <t>Todos los requerimientos modificados han sido acordados por todos los implicados?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</si>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</sst>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B8CCE4"/>
        <bgColor rgb="FFB8CCE4"/>
      </patternFill>
    </fill>
    <fill>
      <patternFill patternType="solid">
        <fgColor rgb="FFF4CCCC"/>
        <bgColor rgb="FFF4CCCC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12" fillId="3" fontId="11" numFmtId="0" xfId="0" applyAlignment="1" applyBorder="1" applyFill="1" applyFont="1">
      <alignment horizontal="left" readingOrder="0" shrinkToFit="0" vertical="center" wrapText="1"/>
    </xf>
    <xf borderId="0" fillId="0" fontId="12" numFmtId="0" xfId="0" applyFont="1"/>
    <xf borderId="12" fillId="3" fontId="11" numFmtId="0" xfId="0" applyAlignment="1" applyBorder="1" applyFill="1" applyFont="1">
      <alignment horizontal="left" shrinkToFit="0" vertical="center" wrapText="1"/>
    </xf>
    <xf borderId="7" fillId="3" fontId="11" numFmtId="0" xfId="0" applyAlignment="1" applyBorder="1" applyFill="1" applyFont="1">
      <alignment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ill="1" applyFont="1">
      <alignment horizontal="left" shrinkToFit="0" vertical="center" wrapText="1"/>
    </xf>
    <xf borderId="13" fillId="3" fontId="11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4" numFmtId="15" xfId="0" applyAlignment="1" applyFont="1" applyNumberFormat="1">
      <alignment horizontal="left" readingOrder="0" shrinkToFit="0" wrapText="1"/>
    </xf>
    <xf borderId="0" fillId="0" fontId="14" numFmtId="15" xfId="0" applyAlignment="1" applyFont="1" applyNumberFormat="1">
      <alignment horizontal="left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center" vertical="center"/>
    </xf>
    <xf borderId="12" fillId="6" fontId="14" numFmtId="0" xfId="0" applyAlignment="1" applyBorder="1" applyFill="1" applyFont="1">
      <alignment horizontal="center" readingOrder="0" shrinkToFit="0" vertical="center" wrapText="0"/>
    </xf>
    <xf borderId="14" fillId="6" fontId="14" numFmtId="0" xfId="0" applyAlignment="1" applyBorder="1" applyFill="1" applyFont="1">
      <alignment horizontal="center" readingOrder="0" shrinkToFit="0" vertical="center" wrapText="0"/>
    </xf>
    <xf borderId="15" fillId="6" fontId="14" numFmtId="0" xfId="0" applyAlignment="1" applyBorder="1" applyFill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ill="1" applyFont="1">
      <alignment horizontal="center" readingOrder="0" shrinkToFit="0" vertical="center" wrapText="0"/>
    </xf>
    <xf borderId="7" fillId="8" fontId="16" numFmtId="0" xfId="0" applyAlignment="1" applyBorder="1" applyFill="1" applyFont="1">
      <alignment horizontal="center" vertical="center"/>
    </xf>
    <xf borderId="7" fillId="8" fontId="17" numFmtId="0" xfId="0" applyAlignment="1" applyBorder="1" applyFill="1" applyFont="1">
      <alignment horizontal="center" readingOrder="0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readingOrder="0"/>
    </xf>
    <xf borderId="7" fillId="0" fontId="18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/>
    </xf>
    <xf borderId="6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left" vertical="center"/>
    </xf>
    <xf borderId="0" fillId="0" fontId="8" numFmtId="0" xfId="0" applyFont="1"/>
    <xf borderId="0" fillId="0" fontId="8" numFmtId="9" xfId="0" applyFont="1" applyNumberFormat="1"/>
    <xf borderId="16" fillId="0" fontId="15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3" numFmtId="0" xfId="0" applyAlignment="1" applyBorder="1" applyFont="1">
      <alignment horizontal="center" readingOrder="0" shrinkToFit="0" vertical="center" wrapText="0"/>
    </xf>
    <xf borderId="8" fillId="0" fontId="13" numFmtId="0" xfId="0" applyAlignment="1" applyBorder="1" applyFont="1">
      <alignment horizontal="center" readingOrder="0"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0"/>
    </xf>
    <xf borderId="7" fillId="0" fontId="18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ON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1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ON - 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Hoja 2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Hoja 1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MODELO LISTA DE COMPROBACION - -style 3">
      <tableStyleElement dxfId="8" type="headerRow"/>
      <tableStyleElement dxfId="9" type="firstRowStripe"/>
      <tableStyleElement dxfId="3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1'!$B$41:$B$43</c:f>
            </c:strRef>
          </c:cat>
          <c:val>
            <c:numRef>
              <c:f>'Hoja 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2'!$B$41:$B$43</c:f>
            </c:strRef>
          </c:cat>
          <c:val>
            <c:numRef>
              <c:f>'Hoja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2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6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9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1">
  <tableColumns count="4">
    <tableColumn name="No." id="1"/>
    <tableColumn name="Pregunta" id="2"/>
    <tableColumn name="SI" id="3"/>
    <tableColumn name="NO " id="4"/>
  </tableColumns>
  <tableStyleInfo name="Hoja 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Hoja 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8">
  <tableColumns count="4">
    <tableColumn name="No." id="1"/>
    <tableColumn name="Pregunta" id="2"/>
    <tableColumn name="SI" id="3"/>
    <tableColumn name="NO " id="4"/>
  </tableColumns>
  <tableStyleInfo name="Hoja 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" name="Table" id="3">
  <tableColumns count="4">
    <tableColumn name="No." id="1"/>
    <tableColumn name="Pregunta" id="2"/>
    <tableColumn name="SI" id="3"/>
    <tableColumn name="NO " id="4"/>
  </tableColumns>
  <tableStyleInfo name="Hoja 2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10" name="Table_10" id="4">
  <tableColumns count="4">
    <tableColumn name="No." id="1"/>
    <tableColumn name="Pregunta" id="2"/>
    <tableColumn name="SI" id="3"/>
    <tableColumn name="NO " id="4"/>
  </tableColumns>
  <tableStyleInfo name="Hoja 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11" name="Table_11" id="7">
  <tableColumns count="4">
    <tableColumn name="No." id="1"/>
    <tableColumn name="Pregunta" id="2"/>
    <tableColumn name="SI" id="3"/>
    <tableColumn name="NO " id="4"/>
  </tableColumns>
  <tableStyleInfo name="Hoja 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47.2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 t="s">
        <v>6</v>
      </c>
      <c r="H7" s="13">
        <v>100.0</v>
      </c>
      <c r="I7" s="12" t="s">
        <v>8</v>
      </c>
      <c r="J7" s="11" t="s">
        <v>6</v>
      </c>
      <c r="K7" s="12" t="s">
        <v>9</v>
      </c>
    </row>
    <row r="8" ht="47.25" customHeight="1">
      <c r="B8" s="14"/>
      <c r="C8" s="15"/>
      <c r="D8" s="16"/>
      <c r="E8" s="14"/>
      <c r="F8" s="14"/>
      <c r="G8" s="14"/>
      <c r="H8" s="13">
        <v>0.0</v>
      </c>
      <c r="I8" s="14"/>
      <c r="J8" s="14"/>
      <c r="K8" s="14"/>
    </row>
    <row r="9" ht="17.25" customHeight="1">
      <c r="B9" s="17">
        <v>1.0</v>
      </c>
      <c r="C9" s="18" t="s">
        <v>10</v>
      </c>
      <c r="D9" s="7"/>
      <c r="E9" s="19" t="s">
        <v>11</v>
      </c>
      <c r="F9" s="20" t="s">
        <v>12</v>
      </c>
      <c r="G9" s="19" t="s">
        <v>11</v>
      </c>
      <c r="H9" s="21">
        <v>1.0</v>
      </c>
      <c r="I9" s="22" t="s">
        <v>13</v>
      </c>
      <c r="J9" s="19" t="s">
        <v>11</v>
      </c>
      <c r="K9" s="22" t="s">
        <v>13</v>
      </c>
    </row>
    <row r="10" ht="30.75" customHeight="1">
      <c r="B10" s="17">
        <v>2.0</v>
      </c>
      <c r="C10" s="18" t="s">
        <v>14</v>
      </c>
      <c r="D10" s="7"/>
      <c r="E10" s="19" t="s">
        <v>11</v>
      </c>
      <c r="F10" s="23" t="s">
        <v>15</v>
      </c>
      <c r="G10" s="19" t="s">
        <v>11</v>
      </c>
      <c r="I10" s="23" t="s">
        <v>15</v>
      </c>
      <c r="J10" s="19" t="s">
        <v>11</v>
      </c>
      <c r="K10" s="23" t="s">
        <v>15</v>
      </c>
    </row>
    <row r="11" ht="27.75" customHeight="1">
      <c r="B11" s="17">
        <v>3.0</v>
      </c>
      <c r="C11" s="18" t="s">
        <v>16</v>
      </c>
      <c r="D11" s="7"/>
      <c r="E11" s="24" t="s">
        <v>17</v>
      </c>
      <c r="F11" s="23" t="s">
        <v>18</v>
      </c>
      <c r="G11" s="24" t="s">
        <v>17</v>
      </c>
      <c r="I11" s="23" t="s">
        <v>18</v>
      </c>
      <c r="J11" s="24" t="s">
        <v>17</v>
      </c>
      <c r="K11" s="23" t="s">
        <v>18</v>
      </c>
    </row>
    <row r="12" ht="27.0" customHeight="1">
      <c r="B12" s="17">
        <v>4.0</v>
      </c>
      <c r="C12" s="18" t="s">
        <v>19</v>
      </c>
      <c r="D12" s="7"/>
      <c r="E12" s="24" t="s">
        <v>17</v>
      </c>
      <c r="F12" s="25" t="s">
        <v>20</v>
      </c>
      <c r="G12" s="24" t="s">
        <v>17</v>
      </c>
      <c r="I12" s="25" t="s">
        <v>21</v>
      </c>
      <c r="J12" s="24" t="s">
        <v>17</v>
      </c>
      <c r="K12" s="25" t="s">
        <v>22</v>
      </c>
    </row>
    <row r="13" ht="23.25" customHeight="1">
      <c r="B13" s="17">
        <v>5.0</v>
      </c>
      <c r="C13" s="18" t="s">
        <v>23</v>
      </c>
      <c r="D13" s="7"/>
      <c r="E13" s="24" t="s">
        <v>17</v>
      </c>
      <c r="F13" s="25" t="s">
        <v>24</v>
      </c>
      <c r="G13" s="24" t="s">
        <v>17</v>
      </c>
      <c r="I13" s="25" t="s">
        <v>24</v>
      </c>
      <c r="J13" s="24" t="s">
        <v>17</v>
      </c>
      <c r="K13" s="25" t="s">
        <v>24</v>
      </c>
    </row>
    <row r="14" ht="23.25" customHeight="1">
      <c r="B14" s="17">
        <v>6.0</v>
      </c>
      <c r="C14" s="18" t="s">
        <v>25</v>
      </c>
      <c r="D14" s="7"/>
      <c r="E14" s="19" t="s">
        <v>11</v>
      </c>
      <c r="F14" s="25" t="s">
        <v>26</v>
      </c>
      <c r="G14" s="19" t="s">
        <v>11</v>
      </c>
      <c r="I14" s="25" t="s">
        <v>27</v>
      </c>
      <c r="J14" s="19" t="s">
        <v>11</v>
      </c>
      <c r="K14" s="25" t="s">
        <v>27</v>
      </c>
    </row>
    <row r="15" ht="24.0" customHeight="1">
      <c r="B15" s="17">
        <v>7.0</v>
      </c>
      <c r="C15" s="18" t="s">
        <v>28</v>
      </c>
      <c r="D15" s="7"/>
      <c r="E15" s="19" t="s">
        <v>11</v>
      </c>
      <c r="F15" s="25" t="s">
        <v>29</v>
      </c>
      <c r="G15" s="19" t="s">
        <v>11</v>
      </c>
      <c r="I15" s="25" t="s">
        <v>29</v>
      </c>
      <c r="J15" s="19" t="s">
        <v>11</v>
      </c>
      <c r="K15" s="25" t="s">
        <v>29</v>
      </c>
    </row>
    <row r="16" ht="30.75" customHeight="1">
      <c r="B16" s="17">
        <v>8.0</v>
      </c>
      <c r="C16" s="18" t="s">
        <v>30</v>
      </c>
      <c r="D16" s="7"/>
      <c r="E16" s="19" t="s">
        <v>11</v>
      </c>
      <c r="F16" s="25" t="s">
        <v>31</v>
      </c>
      <c r="G16" s="19" t="s">
        <v>11</v>
      </c>
      <c r="I16" s="25" t="s">
        <v>31</v>
      </c>
      <c r="J16" s="19" t="s">
        <v>11</v>
      </c>
      <c r="K16" s="25" t="s">
        <v>31</v>
      </c>
    </row>
    <row r="17" ht="21.75" customHeight="1">
      <c r="B17" s="17">
        <v>9.0</v>
      </c>
      <c r="C17" s="18" t="s">
        <v>32</v>
      </c>
      <c r="D17" s="7"/>
      <c r="E17" s="24" t="s">
        <v>17</v>
      </c>
      <c r="F17" s="26" t="s">
        <v>33</v>
      </c>
      <c r="G17" s="24" t="s">
        <v>17</v>
      </c>
      <c r="I17" s="26" t="s">
        <v>33</v>
      </c>
      <c r="J17" s="24" t="s">
        <v>17</v>
      </c>
      <c r="K17" s="26" t="s">
        <v>34</v>
      </c>
    </row>
    <row r="18" ht="18.75" customHeight="1">
      <c r="B18" s="17">
        <v>10.0</v>
      </c>
      <c r="C18" s="18" t="s">
        <v>35</v>
      </c>
      <c r="D18" s="7"/>
      <c r="E18" s="24" t="s">
        <v>17</v>
      </c>
      <c r="F18" s="25" t="s">
        <v>36</v>
      </c>
      <c r="G18" s="24" t="s">
        <v>17</v>
      </c>
      <c r="I18" s="25" t="s">
        <v>37</v>
      </c>
      <c r="J18" s="24" t="s">
        <v>17</v>
      </c>
      <c r="K18" s="25" t="s">
        <v>38</v>
      </c>
    </row>
    <row r="19" ht="21.0" customHeight="1">
      <c r="B19" s="17">
        <v>11.0</v>
      </c>
      <c r="C19" s="18" t="s">
        <v>39</v>
      </c>
      <c r="D19" s="7"/>
      <c r="E19" s="24" t="s">
        <v>17</v>
      </c>
      <c r="F19" s="25" t="s">
        <v>40</v>
      </c>
      <c r="G19" s="24" t="s">
        <v>17</v>
      </c>
      <c r="I19" s="25" t="s">
        <v>41</v>
      </c>
      <c r="J19" s="24" t="s">
        <v>17</v>
      </c>
      <c r="K19" s="25" t="s">
        <v>41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1" t="s">
        <v>43</v>
      </c>
      <c r="C2" s="32">
        <v>46296.0</v>
      </c>
    </row>
    <row r="3" ht="17.25" customHeight="1">
      <c r="B3" s="31" t="s">
        <v>44</v>
      </c>
      <c r="C3" s="34" t="s">
        <v>45</v>
      </c>
    </row>
    <row r="4" ht="16.5" customHeight="1">
      <c r="B4" s="31" t="s">
        <v>46</v>
      </c>
      <c r="C4" s="34" t="s">
        <v>47</v>
      </c>
    </row>
    <row r="5" ht="14.25" customHeight="1"/>
    <row r="6" ht="31.5" customHeight="1">
      <c r="A6" s="35" t="s">
        <v>48</v>
      </c>
    </row>
    <row r="7" ht="15.0" customHeight="1">
      <c r="A7" s="36" t="s">
        <v>49</v>
      </c>
      <c r="B7" s="37" t="s">
        <v>50</v>
      </c>
      <c r="C7" s="37" t="s">
        <v>51</v>
      </c>
      <c r="D7" s="38" t="s">
        <v>52</v>
      </c>
    </row>
    <row r="8" ht="14.25" customHeight="1">
      <c r="A8" s="39">
        <v>1.0</v>
      </c>
      <c r="B8" s="40" t="s">
        <v>53</v>
      </c>
      <c r="C8" s="41" t="s">
        <v>54</v>
      </c>
      <c r="D8" s="43"/>
    </row>
    <row r="9" ht="14.25" customHeight="1">
      <c r="A9" s="39">
        <v>2.0</v>
      </c>
      <c r="B9" s="40" t="s">
        <v>56</v>
      </c>
      <c r="C9" s="41"/>
      <c r="D9" s="44" t="s">
        <v>54</v>
      </c>
    </row>
    <row r="10" ht="14.25" customHeight="1">
      <c r="A10" s="39">
        <v>3.0</v>
      </c>
      <c r="B10" s="40" t="s">
        <v>57</v>
      </c>
      <c r="C10" s="41"/>
      <c r="D10" s="45" t="s">
        <v>54</v>
      </c>
    </row>
    <row r="11" ht="14.25" customHeight="1">
      <c r="A11" s="39">
        <v>4.0</v>
      </c>
      <c r="B11" s="40" t="s">
        <v>58</v>
      </c>
      <c r="C11" s="41" t="s">
        <v>54</v>
      </c>
      <c r="D11" s="43"/>
    </row>
    <row r="12" ht="14.25" customHeight="1">
      <c r="A12" s="39">
        <v>5.0</v>
      </c>
      <c r="B12" s="40" t="s">
        <v>59</v>
      </c>
      <c r="C12" s="41" t="s">
        <v>54</v>
      </c>
      <c r="D12" s="43"/>
    </row>
    <row r="13" ht="14.25" customHeight="1">
      <c r="A13" s="39">
        <v>6.0</v>
      </c>
      <c r="B13" s="40" t="s">
        <v>62</v>
      </c>
      <c r="C13" s="41" t="s">
        <v>54</v>
      </c>
      <c r="D13" s="43"/>
    </row>
    <row r="14" ht="14.25" customHeight="1">
      <c r="A14" s="39">
        <v>7.0</v>
      </c>
      <c r="B14" s="40" t="s">
        <v>66</v>
      </c>
      <c r="C14" s="41" t="s">
        <v>54</v>
      </c>
      <c r="D14" s="43"/>
    </row>
    <row r="15" ht="14.25" customHeight="1">
      <c r="A15" s="39">
        <v>8.0</v>
      </c>
      <c r="B15" s="40" t="s">
        <v>75</v>
      </c>
      <c r="C15" s="41" t="s">
        <v>54</v>
      </c>
      <c r="D15" s="43"/>
    </row>
    <row r="16" ht="14.25" customHeight="1">
      <c r="A16" s="53">
        <v>9.0</v>
      </c>
      <c r="B16" s="54" t="s">
        <v>76</v>
      </c>
      <c r="C16" s="56"/>
      <c r="D16" s="55" t="s">
        <v>54</v>
      </c>
    </row>
    <row r="17" ht="14.25" customHeight="1">
      <c r="A17" s="57" t="s">
        <v>77</v>
      </c>
      <c r="C17" s="58">
        <f>COUNTA('MODELO LISTA DE COMPROBACION - '!$C$8:$C$16)</f>
        <v>6</v>
      </c>
      <c r="D17" s="58">
        <f>COUNTA('MODELO LISTA DE COMPROBACION - '!$D$8:$D$16)</f>
        <v>3</v>
      </c>
    </row>
    <row r="18" ht="14.25" customHeight="1">
      <c r="A18" s="57" t="s">
        <v>78</v>
      </c>
      <c r="C18" s="59">
        <f t="shared" ref="C18:D18" si="1">C17/9</f>
        <v>0.6666666667</v>
      </c>
      <c r="D18" s="59">
        <f t="shared" si="1"/>
        <v>0.3333333333</v>
      </c>
    </row>
    <row r="19" ht="14.25" customHeight="1">
      <c r="A19" s="57"/>
      <c r="B19" s="57"/>
      <c r="C19" s="59"/>
      <c r="D19" s="58"/>
    </row>
    <row r="20" ht="24.0" customHeight="1">
      <c r="A20" s="60" t="s">
        <v>79</v>
      </c>
      <c r="B20" s="61"/>
      <c r="C20" s="61"/>
      <c r="D20" s="61"/>
    </row>
    <row r="21" ht="21.0" customHeight="1">
      <c r="A21" s="62" t="s">
        <v>49</v>
      </c>
      <c r="B21" s="63" t="s">
        <v>50</v>
      </c>
      <c r="C21" s="64" t="s">
        <v>51</v>
      </c>
      <c r="D21" s="65" t="s">
        <v>52</v>
      </c>
    </row>
    <row r="22" ht="14.25" customHeight="1">
      <c r="A22" s="39">
        <v>1.0</v>
      </c>
      <c r="B22" s="40" t="s">
        <v>85</v>
      </c>
      <c r="C22" s="55" t="s">
        <v>54</v>
      </c>
      <c r="D22" s="43"/>
    </row>
    <row r="23" ht="14.25" customHeight="1">
      <c r="A23" s="39">
        <v>2.0</v>
      </c>
      <c r="B23" s="40" t="s">
        <v>86</v>
      </c>
      <c r="C23" s="55" t="s">
        <v>54</v>
      </c>
      <c r="D23" s="43"/>
    </row>
    <row r="24" ht="14.25" customHeight="1">
      <c r="A24" s="39">
        <v>3.0</v>
      </c>
      <c r="B24" s="40" t="s">
        <v>87</v>
      </c>
      <c r="C24" s="55" t="s">
        <v>54</v>
      </c>
      <c r="D24" s="43"/>
    </row>
    <row r="25" ht="14.25" customHeight="1">
      <c r="A25" s="39">
        <v>4.0</v>
      </c>
      <c r="B25" s="40" t="s">
        <v>88</v>
      </c>
      <c r="C25" s="55" t="s">
        <v>54</v>
      </c>
      <c r="D25" s="43"/>
    </row>
    <row r="26" ht="14.25" customHeight="1">
      <c r="A26" s="53">
        <v>5.0</v>
      </c>
      <c r="B26" s="54" t="s">
        <v>89</v>
      </c>
      <c r="C26" s="55" t="s">
        <v>54</v>
      </c>
      <c r="D26" s="66"/>
    </row>
    <row r="27" ht="14.25" customHeight="1">
      <c r="A27" s="57" t="s">
        <v>77</v>
      </c>
      <c r="C27" s="58">
        <f>COUNTA('MODELO LISTA DE COMPROBACION - '!$C$22:$C$26)</f>
        <v>5</v>
      </c>
      <c r="D27" s="58">
        <f>COUNTA('MODELO LISTA DE COMPROBACION - '!$D$22:$D$26)</f>
        <v>0</v>
      </c>
    </row>
    <row r="28" ht="14.25" customHeight="1">
      <c r="A28" s="57" t="s">
        <v>78</v>
      </c>
      <c r="C28" s="59">
        <f t="shared" ref="C28:D28" si="2">C27/5</f>
        <v>1</v>
      </c>
      <c r="D28" s="59">
        <f t="shared" si="2"/>
        <v>0</v>
      </c>
    </row>
    <row r="29" ht="14.25" customHeight="1">
      <c r="A29" s="57"/>
      <c r="B29" s="57"/>
      <c r="C29" s="59"/>
      <c r="D29" s="58"/>
    </row>
    <row r="30" ht="27.75" customHeight="1">
      <c r="A30" s="35" t="s">
        <v>90</v>
      </c>
    </row>
    <row r="31" ht="18.75" customHeight="1">
      <c r="A31" s="62" t="s">
        <v>49</v>
      </c>
      <c r="B31" s="63" t="s">
        <v>50</v>
      </c>
      <c r="C31" s="64" t="s">
        <v>51</v>
      </c>
      <c r="D31" s="65" t="s">
        <v>52</v>
      </c>
    </row>
    <row r="32" ht="14.25" customHeight="1">
      <c r="A32" s="39">
        <v>1.0</v>
      </c>
      <c r="B32" s="67" t="s">
        <v>92</v>
      </c>
      <c r="C32" s="55"/>
      <c r="D32" s="55" t="s">
        <v>54</v>
      </c>
    </row>
    <row r="33" ht="14.25" customHeight="1">
      <c r="A33" s="39">
        <v>2.0</v>
      </c>
      <c r="B33" s="67" t="s">
        <v>98</v>
      </c>
      <c r="C33" s="55" t="s">
        <v>54</v>
      </c>
      <c r="D33" s="56"/>
    </row>
    <row r="34" ht="14.25" customHeight="1">
      <c r="A34" s="53">
        <v>3.0</v>
      </c>
      <c r="B34" s="54" t="s">
        <v>100</v>
      </c>
      <c r="C34" s="55" t="s">
        <v>54</v>
      </c>
      <c r="D34" s="56"/>
    </row>
    <row r="35" ht="14.25" customHeight="1">
      <c r="A35" s="57" t="s">
        <v>77</v>
      </c>
      <c r="C35" s="21">
        <f>COUNTA('MODELO LISTA DE COMPROBACION - '!$C$32:$C$34)</f>
        <v>2</v>
      </c>
      <c r="D35" s="21">
        <f>COUNTA('MODELO LISTA DE COMPROBACION - '!$D$32:$D$34)</f>
        <v>1</v>
      </c>
    </row>
    <row r="36" ht="14.25" customHeight="1">
      <c r="A36" s="57" t="s">
        <v>78</v>
      </c>
      <c r="C36" s="59">
        <f t="shared" ref="C36:D36" si="3">C35/3</f>
        <v>0.6666666667</v>
      </c>
      <c r="D36" s="59">
        <f t="shared" si="3"/>
        <v>0.3333333333</v>
      </c>
    </row>
    <row r="37" ht="14.25" customHeight="1"/>
    <row r="38" ht="14.25" customHeight="1"/>
    <row r="39" ht="14.25" customHeight="1"/>
    <row r="40" ht="14.25" customHeight="1">
      <c r="A40" s="70" t="s">
        <v>101</v>
      </c>
    </row>
    <row r="41" ht="30.0" customHeight="1">
      <c r="B41" s="27" t="s">
        <v>102</v>
      </c>
      <c r="C41" s="71">
        <v>67.0</v>
      </c>
    </row>
    <row r="42" ht="30.0" customHeight="1">
      <c r="B42" s="27" t="s">
        <v>79</v>
      </c>
      <c r="C42" s="58">
        <v>100.0</v>
      </c>
    </row>
    <row r="43" ht="30.0" customHeight="1">
      <c r="B43" s="27" t="s">
        <v>90</v>
      </c>
      <c r="C43" s="71">
        <v>67.0</v>
      </c>
    </row>
    <row r="44" ht="14.25" customHeight="1">
      <c r="C44" s="58"/>
    </row>
    <row r="45" ht="14.25" customHeight="1">
      <c r="C45" s="58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30" t="s">
        <v>42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1" t="s">
        <v>43</v>
      </c>
      <c r="C2" s="33">
        <v>45777.0</v>
      </c>
    </row>
    <row r="3" ht="14.25" customHeight="1">
      <c r="B3" s="31" t="s">
        <v>44</v>
      </c>
      <c r="C3" s="34" t="s">
        <v>45</v>
      </c>
    </row>
    <row r="4" ht="14.25" customHeight="1">
      <c r="B4" s="31" t="s">
        <v>46</v>
      </c>
      <c r="C4" s="34" t="s">
        <v>8</v>
      </c>
    </row>
    <row r="5" ht="14.25" customHeight="1"/>
    <row r="6" ht="21.0" customHeight="1">
      <c r="A6" s="35" t="s">
        <v>48</v>
      </c>
    </row>
    <row r="7" ht="15.0" customHeight="1">
      <c r="A7" s="36" t="s">
        <v>49</v>
      </c>
      <c r="B7" s="37" t="s">
        <v>50</v>
      </c>
      <c r="C7" s="37" t="s">
        <v>51</v>
      </c>
      <c r="D7" s="38" t="s">
        <v>52</v>
      </c>
    </row>
    <row r="8" ht="14.25" customHeight="1">
      <c r="A8" s="39">
        <v>1.0</v>
      </c>
      <c r="B8" s="40" t="s">
        <v>53</v>
      </c>
      <c r="C8" s="42" t="s">
        <v>55</v>
      </c>
      <c r="D8" s="43"/>
    </row>
    <row r="9" ht="14.25" customHeight="1">
      <c r="A9" s="39">
        <v>2.0</v>
      </c>
      <c r="B9" s="40" t="s">
        <v>56</v>
      </c>
      <c r="C9" s="42"/>
      <c r="D9" s="44" t="s">
        <v>54</v>
      </c>
    </row>
    <row r="10" ht="14.25" customHeight="1">
      <c r="A10" s="39">
        <v>3.0</v>
      </c>
      <c r="B10" s="40" t="s">
        <v>57</v>
      </c>
      <c r="C10" s="42" t="s">
        <v>55</v>
      </c>
      <c r="D10" s="43"/>
    </row>
    <row r="11" ht="14.25" customHeight="1">
      <c r="A11" s="39">
        <v>4.0</v>
      </c>
      <c r="B11" s="40" t="s">
        <v>58</v>
      </c>
      <c r="C11" s="42" t="s">
        <v>55</v>
      </c>
      <c r="D11" s="43"/>
    </row>
    <row r="12" ht="14.25" customHeight="1">
      <c r="A12" s="39">
        <v>5.0</v>
      </c>
      <c r="B12" s="40" t="s">
        <v>59</v>
      </c>
      <c r="C12" s="42" t="s">
        <v>55</v>
      </c>
      <c r="D12" s="43"/>
    </row>
    <row r="13" ht="14.25" customHeight="1">
      <c r="A13" s="39">
        <v>6.0</v>
      </c>
      <c r="B13" s="40" t="s">
        <v>62</v>
      </c>
      <c r="C13" s="42" t="s">
        <v>55</v>
      </c>
      <c r="D13" s="43"/>
    </row>
    <row r="14" ht="14.25" customHeight="1">
      <c r="A14" s="39">
        <v>7.0</v>
      </c>
      <c r="B14" s="40" t="s">
        <v>66</v>
      </c>
      <c r="C14" s="41" t="s">
        <v>54</v>
      </c>
      <c r="D14" s="42"/>
    </row>
    <row r="15" ht="14.25" customHeight="1">
      <c r="A15" s="39">
        <v>8.0</v>
      </c>
      <c r="B15" s="40" t="s">
        <v>75</v>
      </c>
      <c r="C15" s="42" t="s">
        <v>55</v>
      </c>
      <c r="D15" s="43"/>
    </row>
    <row r="16" ht="14.25" customHeight="1">
      <c r="A16" s="53">
        <v>9.0</v>
      </c>
      <c r="B16" s="54" t="s">
        <v>76</v>
      </c>
      <c r="C16" s="55"/>
      <c r="D16" s="56" t="s">
        <v>55</v>
      </c>
    </row>
    <row r="17" ht="14.25" customHeight="1">
      <c r="A17" s="57" t="s">
        <v>77</v>
      </c>
      <c r="C17" s="58">
        <f>COUNTA('Hoja 1'!$C$8:$C$16)</f>
        <v>7</v>
      </c>
      <c r="D17" s="58">
        <f>COUNTA('Hoja 1'!$D$8:$D$16)</f>
        <v>2</v>
      </c>
    </row>
    <row r="18" ht="14.25" customHeight="1">
      <c r="A18" s="57" t="s">
        <v>78</v>
      </c>
      <c r="C18" s="59">
        <f t="shared" ref="C18:D18" si="1">C17/9</f>
        <v>0.7777777778</v>
      </c>
      <c r="D18" s="59">
        <f t="shared" si="1"/>
        <v>0.2222222222</v>
      </c>
    </row>
    <row r="19" ht="14.25" customHeight="1">
      <c r="A19" s="57"/>
      <c r="B19" s="57"/>
      <c r="C19" s="59"/>
      <c r="D19" s="58"/>
    </row>
    <row r="20" ht="22.5" customHeight="1">
      <c r="A20" s="60" t="s">
        <v>79</v>
      </c>
      <c r="B20" s="61"/>
      <c r="C20" s="61"/>
      <c r="D20" s="61"/>
    </row>
    <row r="21" ht="19.5" customHeight="1">
      <c r="A21" s="62" t="s">
        <v>49</v>
      </c>
      <c r="B21" s="63" t="s">
        <v>50</v>
      </c>
      <c r="C21" s="64" t="s">
        <v>51</v>
      </c>
      <c r="D21" s="65" t="s">
        <v>52</v>
      </c>
    </row>
    <row r="22" ht="14.25" customHeight="1">
      <c r="A22" s="39">
        <v>1.0</v>
      </c>
      <c r="B22" s="40" t="s">
        <v>85</v>
      </c>
      <c r="C22" s="56" t="s">
        <v>55</v>
      </c>
      <c r="D22" s="43"/>
    </row>
    <row r="23" ht="14.25" customHeight="1">
      <c r="A23" s="39">
        <v>2.0</v>
      </c>
      <c r="B23" s="40" t="s">
        <v>86</v>
      </c>
      <c r="C23" s="56" t="s">
        <v>55</v>
      </c>
      <c r="D23" s="43"/>
    </row>
    <row r="24" ht="14.25" customHeight="1">
      <c r="A24" s="39">
        <v>3.0</v>
      </c>
      <c r="B24" s="40" t="s">
        <v>87</v>
      </c>
      <c r="C24" s="56" t="s">
        <v>55</v>
      </c>
    </row>
    <row r="25" ht="14.25" customHeight="1">
      <c r="A25" s="39">
        <v>4.0</v>
      </c>
      <c r="B25" s="40" t="s">
        <v>88</v>
      </c>
      <c r="C25" s="56" t="s">
        <v>55</v>
      </c>
      <c r="D25" s="43"/>
    </row>
    <row r="26" ht="14.25" customHeight="1">
      <c r="A26" s="53">
        <v>5.0</v>
      </c>
      <c r="B26" s="54" t="s">
        <v>89</v>
      </c>
      <c r="C26" s="56" t="s">
        <v>55</v>
      </c>
      <c r="D26" s="66"/>
    </row>
    <row r="27" ht="14.25" customHeight="1">
      <c r="A27" s="57" t="s">
        <v>77</v>
      </c>
      <c r="C27" s="58">
        <f>COUNTA('Hoja 1'!$C$22:$C$26)</f>
        <v>5</v>
      </c>
      <c r="D27" s="58">
        <f>COUNTA('Hoja 1'!$D$22:$D$26)</f>
        <v>0</v>
      </c>
    </row>
    <row r="28" ht="14.25" customHeight="1">
      <c r="A28" s="57" t="s">
        <v>78</v>
      </c>
      <c r="C28" s="59">
        <f t="shared" ref="C28:D28" si="2">C27/5</f>
        <v>1</v>
      </c>
      <c r="D28" s="59">
        <f t="shared" si="2"/>
        <v>0</v>
      </c>
    </row>
    <row r="29" ht="14.25" customHeight="1">
      <c r="A29" s="57"/>
      <c r="B29" s="57"/>
      <c r="C29" s="59"/>
      <c r="D29" s="58"/>
    </row>
    <row r="30" ht="21.0" customHeight="1">
      <c r="A30" s="35" t="s">
        <v>90</v>
      </c>
    </row>
    <row r="31" ht="18.75" customHeight="1">
      <c r="A31" s="62" t="s">
        <v>49</v>
      </c>
      <c r="B31" s="63" t="s">
        <v>50</v>
      </c>
      <c r="C31" s="64" t="s">
        <v>51</v>
      </c>
      <c r="D31" s="65" t="s">
        <v>52</v>
      </c>
    </row>
    <row r="32" ht="14.25" customHeight="1">
      <c r="A32" s="39">
        <v>1.0</v>
      </c>
      <c r="B32" s="40" t="s">
        <v>93</v>
      </c>
      <c r="C32" s="68" t="s">
        <v>54</v>
      </c>
      <c r="D32" s="55"/>
    </row>
    <row r="33" ht="14.25" customHeight="1">
      <c r="A33" s="39">
        <v>2.0</v>
      </c>
      <c r="B33" s="40" t="s">
        <v>99</v>
      </c>
      <c r="C33" s="55" t="s">
        <v>55</v>
      </c>
      <c r="D33" s="56"/>
    </row>
    <row r="34" ht="14.25" customHeight="1">
      <c r="A34" s="53">
        <v>3.0</v>
      </c>
      <c r="B34" s="54" t="s">
        <v>100</v>
      </c>
      <c r="C34" s="56" t="s">
        <v>55</v>
      </c>
      <c r="D34" s="56"/>
    </row>
    <row r="35" ht="14.25" customHeight="1">
      <c r="A35" s="57" t="s">
        <v>77</v>
      </c>
      <c r="C35" s="21">
        <f>COUNTA('Hoja 1'!$C$32:$C$34)</f>
        <v>3</v>
      </c>
      <c r="D35" s="21">
        <f>COUNTA('Hoja 1'!$D$32:$D$34)</f>
        <v>0</v>
      </c>
    </row>
    <row r="36" ht="14.25" customHeight="1">
      <c r="A36" s="57" t="s">
        <v>78</v>
      </c>
      <c r="C36" s="59">
        <f t="shared" ref="C36:D36" si="3">C35/3</f>
        <v>1</v>
      </c>
      <c r="D36" s="59">
        <f t="shared" si="3"/>
        <v>0</v>
      </c>
    </row>
    <row r="37" ht="14.25" customHeight="1"/>
    <row r="38" ht="14.25" customHeight="1"/>
    <row r="39" ht="14.25" customHeight="1"/>
    <row r="40" ht="14.25" customHeight="1">
      <c r="A40" s="70" t="s">
        <v>101</v>
      </c>
    </row>
    <row r="41" ht="30.0" customHeight="1">
      <c r="B41" s="27" t="s">
        <v>102</v>
      </c>
      <c r="C41" s="58">
        <v>78.0</v>
      </c>
    </row>
    <row r="42" ht="30.0" customHeight="1">
      <c r="B42" s="27" t="s">
        <v>79</v>
      </c>
      <c r="C42" s="58">
        <v>100.0</v>
      </c>
    </row>
    <row r="43" ht="30.0" customHeight="1">
      <c r="B43" s="27" t="s">
        <v>90</v>
      </c>
      <c r="C43" s="71">
        <v>100.0</v>
      </c>
    </row>
    <row r="44" ht="14.25" customHeight="1">
      <c r="C44" s="58"/>
    </row>
    <row r="45" ht="14.25" customHeight="1">
      <c r="C45" s="58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D32:D34 C33:C34">
    <cfRule type="containsText" dxfId="12" priority="2" operator="containsText" text="X">
      <formula>NOT(ISERROR(SEARCH(("X"),(C8))))</formula>
    </cfRule>
  </conditionalFormatting>
  <conditionalFormatting sqref="C8:D16 C22:C26 D32:D34 C33:C34">
    <cfRule type="containsText" dxfId="13" priority="3" operator="containsText" text="X">
      <formula>NOT(ISERROR(SEARCH(("X"),(C8))))</formula>
    </cfRule>
  </conditionalFormatting>
  <conditionalFormatting sqref="C8:D16 C22:C26 D32:D34 C33:C34">
    <cfRule type="containsText" dxfId="14" priority="4" operator="containsText" text="X">
      <formula>NOT(ISERROR(SEARCH(("X"),(C8))))</formula>
    </cfRule>
  </conditionalFormatting>
  <conditionalFormatting sqref="C8:D16 C22:C26 D32:D34 C33:C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1" t="s">
        <v>43</v>
      </c>
      <c r="C2" s="32">
        <v>46296.0</v>
      </c>
    </row>
    <row r="3" ht="14.25" customHeight="1">
      <c r="B3" s="31" t="s">
        <v>44</v>
      </c>
      <c r="C3" s="34" t="s">
        <v>45</v>
      </c>
    </row>
    <row r="4" ht="14.25" customHeight="1">
      <c r="B4" s="31" t="s">
        <v>46</v>
      </c>
      <c r="C4" s="34" t="s">
        <v>9</v>
      </c>
    </row>
    <row r="5" ht="14.25" customHeight="1"/>
    <row r="6" ht="24.0" customHeight="1">
      <c r="A6" s="35" t="s">
        <v>48</v>
      </c>
    </row>
    <row r="7" ht="15.0" customHeight="1">
      <c r="A7" s="36" t="s">
        <v>49</v>
      </c>
      <c r="B7" s="37" t="s">
        <v>50</v>
      </c>
      <c r="C7" s="37" t="s">
        <v>51</v>
      </c>
      <c r="D7" s="38" t="s">
        <v>52</v>
      </c>
    </row>
    <row r="8" ht="14.25" customHeight="1">
      <c r="A8" s="39">
        <v>1.0</v>
      </c>
      <c r="B8" s="40" t="s">
        <v>53</v>
      </c>
      <c r="C8" s="42" t="s">
        <v>55</v>
      </c>
      <c r="D8" s="43"/>
    </row>
    <row r="9" ht="14.25" customHeight="1">
      <c r="A9" s="39">
        <v>2.0</v>
      </c>
      <c r="B9" s="40" t="s">
        <v>56</v>
      </c>
      <c r="C9" s="42"/>
      <c r="D9" s="44" t="s">
        <v>54</v>
      </c>
    </row>
    <row r="10" ht="14.25" customHeight="1">
      <c r="A10" s="39">
        <v>3.0</v>
      </c>
      <c r="B10" s="40" t="s">
        <v>57</v>
      </c>
      <c r="C10" s="41" t="s">
        <v>55</v>
      </c>
      <c r="D10" s="44"/>
    </row>
    <row r="11" ht="14.25" customHeight="1">
      <c r="A11" s="39">
        <v>4.0</v>
      </c>
      <c r="B11" s="40" t="s">
        <v>58</v>
      </c>
      <c r="C11" s="42" t="s">
        <v>55</v>
      </c>
      <c r="D11" s="43"/>
    </row>
    <row r="12" ht="14.25" customHeight="1">
      <c r="A12" s="39">
        <v>5.0</v>
      </c>
      <c r="B12" s="40" t="s">
        <v>59</v>
      </c>
      <c r="C12" s="42" t="s">
        <v>55</v>
      </c>
      <c r="D12" s="43"/>
    </row>
    <row r="13" ht="14.25" customHeight="1">
      <c r="A13" s="39">
        <v>6.0</v>
      </c>
      <c r="B13" s="40" t="s">
        <v>62</v>
      </c>
      <c r="C13" s="42" t="s">
        <v>55</v>
      </c>
      <c r="D13" s="43"/>
    </row>
    <row r="14" ht="14.25" customHeight="1">
      <c r="A14" s="39">
        <v>7.0</v>
      </c>
      <c r="B14" s="40" t="s">
        <v>66</v>
      </c>
      <c r="C14" s="42" t="s">
        <v>55</v>
      </c>
      <c r="D14" s="43"/>
    </row>
    <row r="15" ht="14.25" customHeight="1">
      <c r="A15" s="39">
        <v>8.0</v>
      </c>
      <c r="B15" s="40" t="s">
        <v>75</v>
      </c>
      <c r="C15" s="42" t="s">
        <v>55</v>
      </c>
      <c r="D15" s="43"/>
    </row>
    <row r="16" ht="14.25" customHeight="1">
      <c r="A16" s="53">
        <v>9.0</v>
      </c>
      <c r="B16" s="54" t="s">
        <v>76</v>
      </c>
      <c r="C16" s="56"/>
      <c r="D16" s="56" t="s">
        <v>55</v>
      </c>
    </row>
    <row r="17" ht="14.25" customHeight="1">
      <c r="A17" s="57" t="s">
        <v>77</v>
      </c>
      <c r="C17" s="58">
        <f>COUNTA('Hoja 2'!$C$8:$C$16)</f>
        <v>7</v>
      </c>
      <c r="D17" s="58">
        <f>COUNTA('Hoja 2'!$D$8:$D$16)</f>
        <v>2</v>
      </c>
    </row>
    <row r="18" ht="14.25" customHeight="1">
      <c r="A18" s="57" t="s">
        <v>78</v>
      </c>
      <c r="C18" s="59">
        <f t="shared" ref="C18:D18" si="1">C17/9</f>
        <v>0.7777777778</v>
      </c>
      <c r="D18" s="59">
        <f t="shared" si="1"/>
        <v>0.2222222222</v>
      </c>
    </row>
    <row r="19" ht="14.25" customHeight="1">
      <c r="A19" s="57"/>
      <c r="B19" s="57"/>
      <c r="C19" s="59"/>
      <c r="D19" s="58"/>
    </row>
    <row r="20" ht="24.75" customHeight="1">
      <c r="A20" s="60" t="s">
        <v>79</v>
      </c>
      <c r="B20" s="61"/>
      <c r="C20" s="61"/>
      <c r="D20" s="61"/>
    </row>
    <row r="21" ht="19.5" customHeight="1">
      <c r="A21" s="62" t="s">
        <v>49</v>
      </c>
      <c r="B21" s="63" t="s">
        <v>50</v>
      </c>
      <c r="C21" s="64" t="s">
        <v>51</v>
      </c>
      <c r="D21" s="65" t="s">
        <v>52</v>
      </c>
    </row>
    <row r="22" ht="14.25" customHeight="1">
      <c r="A22" s="39">
        <v>1.0</v>
      </c>
      <c r="B22" s="40" t="s">
        <v>85</v>
      </c>
      <c r="C22" s="56" t="s">
        <v>55</v>
      </c>
      <c r="D22" s="43"/>
    </row>
    <row r="23" ht="14.25" customHeight="1">
      <c r="A23" s="39">
        <v>2.0</v>
      </c>
      <c r="B23" s="40" t="s">
        <v>86</v>
      </c>
      <c r="C23" s="56" t="s">
        <v>55</v>
      </c>
      <c r="D23" s="43"/>
    </row>
    <row r="24" ht="14.25" customHeight="1">
      <c r="A24" s="39">
        <v>3.0</v>
      </c>
      <c r="B24" s="40" t="s">
        <v>87</v>
      </c>
      <c r="C24" s="56" t="s">
        <v>55</v>
      </c>
      <c r="D24" s="43"/>
    </row>
    <row r="25" ht="14.25" customHeight="1">
      <c r="A25" s="39">
        <v>4.0</v>
      </c>
      <c r="B25" s="40" t="s">
        <v>88</v>
      </c>
      <c r="C25" s="56" t="s">
        <v>55</v>
      </c>
      <c r="D25" s="43"/>
    </row>
    <row r="26" ht="14.25" customHeight="1">
      <c r="A26" s="53">
        <v>5.0</v>
      </c>
      <c r="B26" s="54" t="s">
        <v>89</v>
      </c>
      <c r="C26" s="56" t="s">
        <v>55</v>
      </c>
      <c r="D26" s="66"/>
    </row>
    <row r="27" ht="14.25" customHeight="1">
      <c r="A27" s="57" t="s">
        <v>77</v>
      </c>
      <c r="C27" s="58">
        <f>COUNTA('Hoja 2'!$C$22:$C$26)</f>
        <v>5</v>
      </c>
      <c r="D27" s="58">
        <f>COUNTA('Hoja 2'!$D$22:$D$26)</f>
        <v>0</v>
      </c>
    </row>
    <row r="28" ht="14.25" customHeight="1">
      <c r="A28" s="57" t="s">
        <v>78</v>
      </c>
      <c r="C28" s="59">
        <f t="shared" ref="C28:D28" si="2">C27/5</f>
        <v>1</v>
      </c>
      <c r="D28" s="59">
        <f t="shared" si="2"/>
        <v>0</v>
      </c>
    </row>
    <row r="29" ht="14.25" customHeight="1">
      <c r="A29" s="57"/>
      <c r="B29" s="57"/>
      <c r="C29" s="59"/>
      <c r="D29" s="58"/>
    </row>
    <row r="30" ht="24.75" customHeight="1">
      <c r="A30" s="35" t="s">
        <v>90</v>
      </c>
    </row>
    <row r="31" ht="24.0" customHeight="1">
      <c r="A31" s="62" t="s">
        <v>49</v>
      </c>
      <c r="B31" s="63" t="s">
        <v>50</v>
      </c>
      <c r="C31" s="64" t="s">
        <v>51</v>
      </c>
      <c r="D31" s="65" t="s">
        <v>52</v>
      </c>
    </row>
    <row r="32" ht="14.25" customHeight="1">
      <c r="A32" s="39">
        <v>1.0</v>
      </c>
      <c r="B32" s="40" t="s">
        <v>93</v>
      </c>
      <c r="C32" s="56" t="s">
        <v>55</v>
      </c>
      <c r="D32" s="56"/>
    </row>
    <row r="33" ht="14.25" customHeight="1">
      <c r="A33" s="39">
        <v>2.0</v>
      </c>
      <c r="B33" s="40" t="s">
        <v>99</v>
      </c>
      <c r="C33" s="56" t="s">
        <v>55</v>
      </c>
      <c r="D33" s="56"/>
    </row>
    <row r="34" ht="14.25" customHeight="1">
      <c r="A34" s="53">
        <v>3.0</v>
      </c>
      <c r="B34" s="54" t="s">
        <v>100</v>
      </c>
      <c r="C34" s="56" t="s">
        <v>55</v>
      </c>
      <c r="D34" s="56"/>
    </row>
    <row r="35" ht="14.25" customHeight="1">
      <c r="A35" s="57" t="s">
        <v>77</v>
      </c>
      <c r="C35" s="21">
        <f>COUNTA('Hoja 2'!$C$32:$C$34)</f>
        <v>3</v>
      </c>
      <c r="D35" s="21">
        <f>COUNTA('Hoja 2'!$D$32:$D$34)</f>
        <v>0</v>
      </c>
    </row>
    <row r="36" ht="14.25" customHeight="1">
      <c r="A36" s="57" t="s">
        <v>78</v>
      </c>
      <c r="C36" s="59">
        <f t="shared" ref="C36:D36" si="3">C35/3</f>
        <v>1</v>
      </c>
      <c r="D36" s="59">
        <f t="shared" si="3"/>
        <v>0</v>
      </c>
    </row>
    <row r="37" ht="14.25" customHeight="1"/>
    <row r="38" ht="14.25" customHeight="1"/>
    <row r="39" ht="14.25" customHeight="1"/>
    <row r="40" ht="14.25" customHeight="1">
      <c r="A40" s="70" t="s">
        <v>101</v>
      </c>
    </row>
    <row r="41" ht="30.0" customHeight="1">
      <c r="B41" s="27" t="s">
        <v>102</v>
      </c>
      <c r="C41" s="71">
        <v>67.0</v>
      </c>
    </row>
    <row r="42" ht="30.0" customHeight="1">
      <c r="B42" s="27" t="s">
        <v>79</v>
      </c>
      <c r="C42" s="58">
        <v>100.0</v>
      </c>
    </row>
    <row r="43" ht="30.0" customHeight="1">
      <c r="B43" s="27" t="s">
        <v>90</v>
      </c>
      <c r="C43" s="58">
        <v>100.0</v>
      </c>
    </row>
    <row r="44" ht="14.25" customHeight="1">
      <c r="C44" s="58"/>
    </row>
    <row r="45" ht="14.25" customHeight="1">
      <c r="C45" s="58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57.29"/>
    <col customWidth="1" min="3" max="6" width="10.71"/>
  </cols>
  <sheetData>
    <row r="1" ht="14.25" customHeight="1">
      <c r="A1" s="46" t="s">
        <v>60</v>
      </c>
      <c r="B1" s="47" t="s">
        <v>61</v>
      </c>
    </row>
    <row r="2" ht="14.25" customHeight="1">
      <c r="A2" s="48" t="s">
        <v>63</v>
      </c>
      <c r="B2" s="49" t="s">
        <v>64</v>
      </c>
    </row>
    <row r="3" ht="14.25" customHeight="1">
      <c r="A3" s="50" t="s">
        <v>65</v>
      </c>
      <c r="B3" s="49" t="s">
        <v>67</v>
      </c>
    </row>
    <row r="4" ht="14.25" customHeight="1">
      <c r="A4" s="50" t="s">
        <v>68</v>
      </c>
      <c r="B4" s="49" t="s">
        <v>69</v>
      </c>
    </row>
    <row r="5" ht="14.25" customHeight="1">
      <c r="A5" s="13" t="s">
        <v>70</v>
      </c>
      <c r="B5" s="49" t="s">
        <v>71</v>
      </c>
    </row>
    <row r="6" ht="14.25" customHeight="1">
      <c r="A6" s="51" t="s">
        <v>72</v>
      </c>
      <c r="B6" s="51" t="s">
        <v>73</v>
      </c>
    </row>
    <row r="7" ht="14.25" customHeight="1">
      <c r="A7" s="52" t="s">
        <v>74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47" t="s">
        <v>60</v>
      </c>
      <c r="B1" s="47" t="s">
        <v>61</v>
      </c>
    </row>
    <row r="2" ht="14.25" customHeight="1">
      <c r="A2" s="48" t="s">
        <v>63</v>
      </c>
      <c r="B2" s="49" t="s">
        <v>80</v>
      </c>
    </row>
    <row r="3" ht="14.25" customHeight="1">
      <c r="A3" s="50" t="s">
        <v>65</v>
      </c>
      <c r="B3" s="49" t="s">
        <v>81</v>
      </c>
    </row>
    <row r="4" ht="14.25" customHeight="1">
      <c r="A4" s="50" t="s">
        <v>68</v>
      </c>
      <c r="B4" s="49" t="s">
        <v>82</v>
      </c>
    </row>
    <row r="5" ht="14.25" customHeight="1">
      <c r="A5" s="13" t="s">
        <v>70</v>
      </c>
      <c r="B5" s="49" t="s">
        <v>83</v>
      </c>
    </row>
    <row r="6" ht="14.25" customHeight="1">
      <c r="A6" s="51" t="s">
        <v>72</v>
      </c>
      <c r="B6" s="51" t="s">
        <v>84</v>
      </c>
    </row>
    <row r="7" ht="14.25" customHeight="1">
      <c r="A7" s="52" t="s">
        <v>74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57.29"/>
    <col customWidth="1" min="3" max="6" width="10.71"/>
  </cols>
  <sheetData>
    <row r="1" ht="14.25" customHeight="1">
      <c r="A1" s="46" t="s">
        <v>60</v>
      </c>
      <c r="B1" s="47" t="s">
        <v>61</v>
      </c>
    </row>
    <row r="2" ht="14.25" customHeight="1">
      <c r="A2" s="48" t="s">
        <v>63</v>
      </c>
      <c r="B2" s="49" t="s">
        <v>91</v>
      </c>
    </row>
    <row r="3" ht="14.25" customHeight="1">
      <c r="A3" s="50" t="s">
        <v>65</v>
      </c>
      <c r="B3" s="49" t="s">
        <v>94</v>
      </c>
    </row>
    <row r="4" ht="14.25" customHeight="1">
      <c r="A4" s="50" t="s">
        <v>68</v>
      </c>
      <c r="B4" s="49" t="s">
        <v>95</v>
      </c>
    </row>
    <row r="5" ht="14.25" customHeight="1">
      <c r="A5" s="13" t="s">
        <v>70</v>
      </c>
      <c r="B5" s="49" t="s">
        <v>96</v>
      </c>
    </row>
    <row r="6" ht="14.25" customHeight="1">
      <c r="A6" s="51" t="s">
        <v>72</v>
      </c>
      <c r="B6" s="69" t="s">
        <v>97</v>
      </c>
    </row>
    <row r="7" ht="14.25" customHeight="1">
      <c r="A7" s="52" t="s">
        <v>74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