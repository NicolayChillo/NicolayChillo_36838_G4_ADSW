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atriz Ckeck LIst" sheetId="1" r:id="rId5"/>
    <sheet state="visible" name="MODELO LISTA DE COMPROBACION - " sheetId="2" r:id="rId6"/>
    <sheet state="visible" name="Hoja 1" sheetId="3" r:id="rId7"/>
    <sheet state="visible" name="Hoja 2" sheetId="4" r:id="rId8"/>
    <sheet state="visible" name="RECOMENDACIONES" sheetId="5" r:id="rId9"/>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G7">
      <text>
        <t xml:space="preserve">jeny ruiz:
Control del nivel de acuedo entre las partes Cliente y Desarrollador</t>
      </text>
    </comment>
    <comment authorId="0" ref="I9">
      <text>
        <t xml:space="preserve">jeny ruiz:
Es importante ingresar el archivo plano en formato excel para el cliente y el desarrollador</t>
      </text>
    </comment>
    <comment authorId="0" ref="I7">
      <text>
        <t xml:space="preserve">jeny ruiz:
Se guarda en un archivo Excel los registros que dieron un problema en la actualización.</t>
      </text>
    </comment>
    <comment authorId="0" ref="K9">
      <text>
        <t xml:space="preserve">jeny ruiz:
Es importante ingresar el archivo plano en formato excel para el cliente y el desarrollador</t>
      </text>
    </comment>
    <comment authorId="0" ref="J7">
      <text>
        <t xml:space="preserve">jeny ruiz:
Control del nivel de acuedo entre las partes Cliente y Desarrollador</t>
      </text>
    </comment>
    <comment authorId="0" ref="K7">
      <text>
        <t xml:space="preserve">jeny ruiz:
jeny ruiz:
Posterior a la actualización, se guardaran automáticamente el nombre de usuario, fecha, hora, registro antiguo, registro nuevo.</t>
      </text>
    </comment>
    <comment authorId="0" ref="C19">
      <text>
        <t xml:space="preserve">jeny ruiz:
Para todos los interesados dependiendo  de la fase del proyecto podrían estar involucrados  distintos implicados,(Glosario de tèrminos)</t>
      </text>
    </comment>
    <comment authorId="0" ref="C18">
      <text>
        <t xml:space="preserve">jeny ruiz:
Trata todos los asuntos relevantes</t>
      </text>
    </comment>
    <comment authorId="0" ref="C17">
      <text>
        <t xml:space="preserve">jeny ruiz:
El origen del requisito y sus relaciones con otros requisitos  están claros.</t>
      </text>
    </comment>
    <comment authorId="0" ref="C16">
      <text>
        <t xml:space="preserve">jeny ruiz:
Puede ser implementado  y desarrollado en las condiciones actuales(tiempo, Presupuest,, orgtanizaciòn, ect)</t>
      </text>
    </comment>
    <comment authorId="0" ref="C15">
      <text>
        <t xml:space="preserve">jeny ruiz:
Su cumplimiento o no cumplimiento puede der probado con un esfuerzo razonable</t>
      </text>
    </comment>
    <comment authorId="0" ref="C14">
      <text>
        <t xml:space="preserve">jeny ruiz:
Sin contradicciones
</t>
      </text>
    </comment>
    <comment authorId="0" ref="C13">
      <text>
        <t xml:space="preserve">jeny ruiz:
Refleja las espectativas  del implicado
</t>
      </text>
    </comment>
    <comment authorId="0" ref="C12">
      <text>
        <t xml:space="preserve">jeny ruiz:
Toda nueva información  ha sido incorporada</t>
      </text>
    </comment>
    <comment authorId="0" ref="C11">
      <text>
        <t xml:space="preserve">jeny ruiz:
Todos los lectores comprenden de la misma manera, sólo una interpretación</t>
      </text>
    </comment>
    <comment authorId="0" ref="C10">
      <text>
        <t xml:space="preserve">jeny ruiz:
Ponderado por importancia o prioridad</t>
      </text>
    </comment>
    <comment authorId="0" ref="C9">
      <text>
        <t xml:space="preserve">jeny ruiz:
Todos los interesados reconocen que el  requisito es correcto y relevante
</t>
      </text>
    </comment>
    <comment authorId="0" ref="F9">
      <text>
        <t xml:space="preserve">jeny ruiz:
Es importante ingresar el archivo plano en formato excel para el cliente y el desarrollador</t>
      </text>
    </comment>
    <comment authorId="0" ref="E7">
      <text>
        <t xml:space="preserve">jeny ruiz:
Control del nivel de acuedo entre las partes Cliente y Desarrollador</t>
      </text>
    </comment>
    <comment authorId="0" ref="F7">
      <text>
        <t xml:space="preserve">jeny ruiz:
La información contenida en memoria se utiliza para actualizar los campos de la base de datos.</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6">
      <text>
        <t xml:space="preserve">ESPE:
verificable 
</t>
      </text>
    </comment>
    <comment authorId="0" ref="B15">
      <text>
        <t xml:space="preserve">ESPE:
NECESIDAD
</t>
      </text>
    </comment>
    <comment authorId="0" ref="B14">
      <text>
        <t xml:space="preserve">ESPE:
CONSISTENCIA</t>
      </text>
    </comment>
    <comment authorId="0" ref="B13">
      <text>
        <t xml:space="preserve">ESPE:
CORRECCION
</t>
      </text>
    </comment>
    <comment authorId="0" ref="B12">
      <text>
        <t xml:space="preserve">ESPE:
TRAZABILIDAD
</t>
      </text>
    </comment>
    <comment authorId="0" ref="B11">
      <text>
        <t xml:space="preserve">ESPE:
trazabilidad
</t>
      </text>
    </comment>
    <comment authorId="0" ref="B10">
      <text>
        <t xml:space="preserve">ESPE:
TRAZABILIDAD</t>
      </text>
    </comment>
    <comment authorId="0" ref="B9">
      <text>
        <t xml:space="preserve">ESPE:
COMPLETITUD REQUISITO INDIVIDUAL
</t>
      </text>
    </comment>
    <comment authorId="0" ref="B8">
      <text>
        <t xml:space="preserve">ESPE:
COMPLETITUD DOCUMENTO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6">
      <text>
        <t xml:space="preserve">ESPE:
verificable 
</t>
      </text>
    </comment>
    <comment authorId="0" ref="B15">
      <text>
        <t xml:space="preserve">ESPE:
NECESIDAD
</t>
      </text>
    </comment>
    <comment authorId="0" ref="B14">
      <text>
        <t xml:space="preserve">ESPE:
CONSISTENCIA</t>
      </text>
    </comment>
    <comment authorId="0" ref="B13">
      <text>
        <t xml:space="preserve">ESPE:
CORRECCION
</t>
      </text>
    </comment>
    <comment authorId="0" ref="B12">
      <text>
        <t xml:space="preserve">ESPE:
TRAZABILIDAD
</t>
      </text>
    </comment>
    <comment authorId="0" ref="B11">
      <text>
        <t xml:space="preserve">ESPE:
trazabilidad
</t>
      </text>
    </comment>
    <comment authorId="0" ref="B10">
      <text>
        <t xml:space="preserve">ESPE:
TRAZABILIDAD</t>
      </text>
    </comment>
    <comment authorId="0" ref="B9">
      <text>
        <t xml:space="preserve">ESPE:
COMPLETITUD REQUISITO INDIVIDUAL
</t>
      </text>
    </comment>
    <comment authorId="0" ref="B8">
      <text>
        <t xml:space="preserve">ESPE:
COMPLETITUD DOCUMENTO</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6">
      <text>
        <t xml:space="preserve">ESPE:
verificable 
</t>
      </text>
    </comment>
    <comment authorId="0" ref="B15">
      <text>
        <t xml:space="preserve">ESPE:
NECESIDAD
</t>
      </text>
    </comment>
    <comment authorId="0" ref="B14">
      <text>
        <t xml:space="preserve">ESPE:
CONSISTENCIA</t>
      </text>
    </comment>
    <comment authorId="0" ref="B13">
      <text>
        <t xml:space="preserve">ESPE:
CORRECCION
</t>
      </text>
    </comment>
    <comment authorId="0" ref="B12">
      <text>
        <t xml:space="preserve">ESPE:
TRAZABILIDAD
</t>
      </text>
    </comment>
    <comment authorId="0" ref="B11">
      <text>
        <t xml:space="preserve">ESPE:
trazabilidad
</t>
      </text>
    </comment>
    <comment authorId="0" ref="B10">
      <text>
        <t xml:space="preserve">ESPE:
TRAZABILIDAD</t>
      </text>
    </comment>
    <comment authorId="0" ref="B9">
      <text>
        <t xml:space="preserve">ESPE:
COMPLETITUD REQUISITO INDIVIDUAL
</t>
      </text>
    </comment>
    <comment authorId="0" ref="B8">
      <text>
        <t xml:space="preserve">ESPE:
COMPLETITUD DOCUMENTO</t>
      </text>
    </comment>
  </commentList>
</comments>
</file>

<file path=xl/sharedStrings.xml><?xml version="1.0" encoding="utf-8"?>
<sst xmlns="http://schemas.openxmlformats.org/spreadsheetml/2006/main" count="300" uniqueCount="93">
  <si>
    <t>MATRIZ PARA COMPROBACIÓN REQUERIMIENTOS DE CALIDAD DE PROYECTO ACADEMICO</t>
  </si>
  <si>
    <t>SISTEMA:</t>
  </si>
  <si>
    <t>Sistema Web “Sacha Amazonic Products”</t>
  </si>
  <si>
    <t>Requerimientos  Funcionales</t>
  </si>
  <si>
    <t>Nº</t>
  </si>
  <si>
    <t>CRITERIOS DE CALIDAD (Documento/Requerimientos)</t>
  </si>
  <si>
    <t>Status
Nivel de Acuerdo</t>
  </si>
  <si>
    <t xml:space="preserve">
CUC-01: Buscar Producto</t>
  </si>
  <si>
    <t>CUC-02: Visualizar Producto</t>
  </si>
  <si>
    <t>CUC-03: Registrarse</t>
  </si>
  <si>
    <t>Agreed</t>
  </si>
  <si>
    <t>NOK</t>
  </si>
  <si>
    <t>1. Videoconferencia de la entrevista
2. Minuto de la entrevista
3. Aceptación por videoconferencia</t>
  </si>
  <si>
    <t>1. Videoconferencia de la entrevista                                                                                                                    2. Minuta de la entrevista
3. Aceptación del prototipo no funcional mediante videoconferencia</t>
  </si>
  <si>
    <t>Ranked</t>
  </si>
  <si>
    <t>1. En la descripción del caso de Uso se especifica la prioridad Alta</t>
  </si>
  <si>
    <t>Unambiguos</t>
  </si>
  <si>
    <t>OK</t>
  </si>
  <si>
    <t xml:space="preserve">1.  Redacción en lenguaje claro.                                                                               2. El tutor y el equipo interpretan de igual manera el caso de uso </t>
  </si>
  <si>
    <t>Valid and up-to date</t>
  </si>
  <si>
    <t>Sistema De Gestión De Crianza De Conejos (Hoptolt)</t>
  </si>
  <si>
    <t>1. Toda nueva información ha sido incorporada, se han incorporado los últimos cambios pedidos luego del feedback realizado por el cliente</t>
  </si>
  <si>
    <t>FECHA:</t>
  </si>
  <si>
    <t>1. No se han incorporado los últimos cambios pedidos luego del feedback realizado por el cliente</t>
  </si>
  <si>
    <t>1. No se han incorporado los últimos cambios cambios tras el feedback realizado por el cliente</t>
  </si>
  <si>
    <t>Correct</t>
  </si>
  <si>
    <t>AUTOR:</t>
  </si>
  <si>
    <t>Nicolay Chillo, Gavilanez Kenny, Cristian Lisintuña</t>
  </si>
  <si>
    <t>REQUERIMIENTOS EVALUADOS :</t>
  </si>
  <si>
    <t>1. Está alineado con los objetivos del sistema.                                                                                                                                                                                                                        2. Refleja lo que realmente necesita el cliente.</t>
  </si>
  <si>
    <t>CONTENIDO</t>
  </si>
  <si>
    <t>Consisten</t>
  </si>
  <si>
    <t>No.</t>
  </si>
  <si>
    <t xml:space="preserve">1. Documentación basada en modelos: Diagrama de Casos de Uso
2. Usa términos definidos previamente.                                             </t>
  </si>
  <si>
    <t xml:space="preserve">1. Documentación basada en modelos: Diagrama de Casos de Uso
2. Usa términos definidos previamente.                                                    3. Palabras repetitivas.                                              </t>
  </si>
  <si>
    <t>Verifiable</t>
  </si>
  <si>
    <t>CUC-01: Buscar Producto</t>
  </si>
  <si>
    <t>1. Requisito Medible                                                           2.  Falta Casos de Prueba</t>
  </si>
  <si>
    <t>Realizable</t>
  </si>
  <si>
    <t>1. Funcionalidad tomada en cuenta dentro de la estimación del costo del proyecto (900$)
2. No se ha desarrollado</t>
  </si>
  <si>
    <t>Pregunta</t>
  </si>
  <si>
    <t>Traceable</t>
  </si>
  <si>
    <t>1. Es claro el origen del requisito y sus relaciones con otros requisitos (matriz de trazabilidad cliente/casos de uso y casos de uso/casos de uso) 
2. Cuenta con un identificador único</t>
  </si>
  <si>
    <t>SI</t>
  </si>
  <si>
    <t>1. Es claro el origen del requisito y sus relaciones con otros requisitos (matriz de trazabilidad cliente/casos de uso y casos de uso/casos de uso)                           2. Cuenta con un identificador único</t>
  </si>
  <si>
    <t>Complete</t>
  </si>
  <si>
    <t xml:space="preserve">NO </t>
  </si>
  <si>
    <t>1. Contiene toda la información necesaria (entradas, salidas, precondiciones, postcondiciones) para entender y diseñar la función. 
2. Describe completamente la funcionalidad esperada.</t>
  </si>
  <si>
    <t>1. Contiene toda la información necesaria (entradas, salidas, precondiciones, postcondiciones) para entender y diseñar la función.                                                                              2. Describe completamente la funcionalidad esperada.</t>
  </si>
  <si>
    <t>1. Contiene toda la información necesaria (entradas, salidas, precondiciones, postcondiciones) para entender y diseñar la función.                                2. Describe completamente la funcionalidad esperada.</t>
  </si>
  <si>
    <t>Understandability</t>
  </si>
  <si>
    <t>1. Se involucra al cliente
2. Existe glosario de términos</t>
  </si>
  <si>
    <t>1. Se involucra al cliente 
2.Uso de términos respaldado por un glosario de términos</t>
  </si>
  <si>
    <t>Todos los requerimientos relevantes se han documentado?</t>
  </si>
  <si>
    <t>X</t>
  </si>
  <si>
    <t>Se han implementado las funciones requeridas?</t>
  </si>
  <si>
    <t>x</t>
  </si>
  <si>
    <t xml:space="preserve"> Existe algún mecanismo que permita seguir el impacto de dicho requerimiento a lo largo del resto de las actividades del ciclo productivo.?</t>
  </si>
  <si>
    <t>El origen de cada requerimento individual está claro ?</t>
  </si>
  <si>
    <t>Que tan facil es devolverse a los requerimientos?</t>
  </si>
  <si>
    <t xml:space="preserve"> Los requerimientos reflejan las necesidades y deseos del cliente?</t>
  </si>
  <si>
    <t>No hay contradicciones entre los requerimientos?</t>
  </si>
  <si>
    <t>El requerimiento que se esta especificando contribuye a alcanzar un objetivo definido ?</t>
  </si>
  <si>
    <t>Existe un proceso acotado (en plazo y presupuesto) que permita determinar que el sistema construido satisface lo descrito en el propio requerimiento?</t>
  </si>
  <si>
    <t>SUMATORIA:</t>
  </si>
  <si>
    <t>PORCENTAJE :</t>
  </si>
  <si>
    <t>DOCUMENTACIÓN</t>
  </si>
  <si>
    <t>Aplica un estandar para la documetación de requerimiento?</t>
  </si>
  <si>
    <t>Cumple con la estructura definida por el estandar?</t>
  </si>
  <si>
    <t>Utiliza un Glosario de términos normalizado?</t>
  </si>
  <si>
    <t>Los requerimientos Funcionales estan sujetos a una única interpretación?</t>
  </si>
  <si>
    <t>El modelo aplicado cumple con la sintaxis?</t>
  </si>
  <si>
    <t>NIVEL DE ACUERDO</t>
  </si>
  <si>
    <t>Todos los requerimientos  han sido acordados con todos los interesados?</t>
  </si>
  <si>
    <t>Todos los requerimientos  modificados han sido acordados por todos los implicados?</t>
  </si>
  <si>
    <t>Han sido resueltos todos los conflictos conocidos respectos de los requerimientos?</t>
  </si>
  <si>
    <t>RESUMEN</t>
  </si>
  <si>
    <t xml:space="preserve">CONTENIDO </t>
  </si>
  <si>
    <t>Todos los requerimientos han sido acordados con todos los interesados?</t>
  </si>
  <si>
    <t>PREGUNTA</t>
  </si>
  <si>
    <t>Todos los requerimientos modificados han sido acordados por todos los implicados?</t>
  </si>
  <si>
    <t>RECOMENDACIÓN</t>
  </si>
  <si>
    <t>¿Se han validado y aprobado formalmente todos los entregables de la entrevista (videoconferencia, minuta, acta de aceptación)?</t>
  </si>
  <si>
    <t>El analista debe establecer como regla de trabajo redactar la minuta y el acta de de conformidad inmediatamente después de cada sesión de levantamiento. Se recomienda adjuntar el protoitpo no funcional a dicha acta y gestionar la aceptación del usuario antes de dar por cerrada la fase de licitación.</t>
  </si>
  <si>
    <t>¿Se han definido la prioridad en los casos de uso?</t>
  </si>
  <si>
    <t>El analista no debe asignar de "Alta prioridad" a todos los requisitos ya que se debe evaluar el impacto de cada caso de uso respecto al conjunto global del sistema e incorporar el campo estandarizado de prioridad en la plantilla de especificación.</t>
  </si>
  <si>
    <t>¿Se ha diseñado el diagrama de Casos de Uso ?</t>
  </si>
  <si>
    <t>El analista debe modelar formalmente el Diagrama de casos de uso asegurando coherencia gráfica con las fichas. Asimismo, debe revisar la redacción para eliminar redundancias de los términos del glosario del proyecto.</t>
  </si>
  <si>
    <t>¿Se han definido criterios de aceptación y casos de prueba
 que permitan medir objetivamente el cumplimiento del 
requisito?</t>
  </si>
  <si>
    <t>Al especificar el caso de uso, el analista debe redactar explícitamente las condiciones de aceptación y la matriz de casos de prueba, porque un requerimiento no está completo si el analista no define cómo el área de QA medirrá su cumplimiento.</t>
  </si>
  <si>
    <t>¿Se ha tomado en cuenta las funcionalidades dentro de la estimación del costo del proyecto?</t>
  </si>
  <si>
    <t>El analista debe desglosar cada caso de uso en sus tareas técnicas base como diseño, lógica de negocio, BD, pruebas, etc. para calcular su esfuerzo en horas, lo cual permite justificar objetivamente si la suma de las funcionalidades se mantienen dentro del techo presupuestario del proyecto.</t>
  </si>
  <si>
    <t xml:space="preserve"> </t>
  </si>
</sst>
</file>

<file path=xl/styles.xml><?xml version="1.0" encoding="utf-8"?>
<styleSheet xmlns="http://schemas.openxmlformats.org/spreadsheetml/2006/main" xmlns:x14ac="http://schemas.microsoft.com/office/spreadsheetml/2009/9/ac" xmlns:mc="http://schemas.openxmlformats.org/markup-compatibility/2006">
  <fonts count="19">
    <font>
      <sz val="11.0"/>
      <color theme="1"/>
      <name val="Calibri"/>
      <scheme val="minor"/>
    </font>
    <font>
      <sz val="8.0"/>
      <color theme="1"/>
      <name val="Arial"/>
    </font>
    <font>
      <b/>
      <sz val="18.0"/>
      <color rgb="FF1F497D"/>
      <name val="Calibri"/>
    </font>
    <font>
      <b/>
      <sz val="18.0"/>
      <color theme="1"/>
      <name val="Calibri"/>
    </font>
    <font>
      <b/>
      <sz val="18.0"/>
      <color theme="1"/>
      <name val="Arial"/>
    </font>
    <font/>
    <font>
      <b/>
      <sz val="12.0"/>
      <color theme="1"/>
      <name val="Arial"/>
    </font>
    <font>
      <b/>
      <sz val="11.0"/>
      <color theme="1"/>
      <name val="Arial"/>
    </font>
    <font>
      <sz val="11.0"/>
      <color theme="1"/>
      <name val="Calibri"/>
    </font>
    <font>
      <b/>
      <sz val="16.0"/>
      <color theme="0"/>
      <name val="Calibri"/>
    </font>
    <font>
      <b/>
      <sz val="16.0"/>
      <color theme="1"/>
      <name val="Calibri"/>
    </font>
    <font>
      <b/>
      <sz val="12.0"/>
      <color rgb="FFFFFFFF"/>
      <name val="Calibri"/>
    </font>
    <font>
      <color theme="1"/>
      <name val="Calibri"/>
    </font>
    <font>
      <b/>
      <sz val="14.0"/>
      <color theme="1"/>
      <name val="Calibri"/>
    </font>
    <font>
      <sz val="14.0"/>
      <color theme="1"/>
      <name val="Calibri"/>
    </font>
    <font>
      <b/>
      <sz val="18.0"/>
      <color rgb="FFFA7D00"/>
      <name val="Calibri"/>
    </font>
    <font>
      <color theme="1"/>
      <name val="Calibri"/>
      <scheme val="minor"/>
    </font>
    <font>
      <b/>
      <sz val="11.0"/>
      <color theme="0"/>
      <name val="Calibri"/>
    </font>
    <font>
      <b/>
      <sz val="11.0"/>
      <color rgb="FFFFFFFF"/>
      <name val="Calibri"/>
    </font>
  </fonts>
  <fills count="9">
    <fill>
      <patternFill patternType="none"/>
    </fill>
    <fill>
      <patternFill patternType="lightGray"/>
    </fill>
    <fill>
      <patternFill patternType="solid">
        <fgColor rgb="FFD8D8D8"/>
        <bgColor rgb="FFD8D8D8"/>
      </patternFill>
    </fill>
    <fill>
      <patternFill patternType="solid">
        <fgColor theme="4"/>
        <bgColor theme="4"/>
      </patternFill>
    </fill>
    <fill>
      <patternFill patternType="solid">
        <fgColor theme="5"/>
        <bgColor theme="5"/>
      </patternFill>
    </fill>
    <fill>
      <patternFill patternType="solid">
        <fgColor theme="6"/>
        <bgColor theme="6"/>
      </patternFill>
    </fill>
    <fill>
      <patternFill patternType="solid">
        <fgColor rgb="FFB8CCE4"/>
        <bgColor rgb="FFB8CCE4"/>
      </patternFill>
    </fill>
    <fill>
      <patternFill patternType="solid">
        <fgColor rgb="FFF4CCCC"/>
        <bgColor rgb="FFF4CCCC"/>
      </patternFill>
    </fill>
    <fill>
      <patternFill patternType="solid">
        <fgColor rgb="FFC2D69B"/>
        <bgColor rgb="FFC2D69B"/>
      </patternFill>
    </fill>
  </fills>
  <borders count="17">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bottom style="thin">
        <color rgb="FF000000"/>
      </bottom>
    </border>
    <border>
      <right style="thin">
        <color rgb="FF000000"/>
      </right>
      <bottom style="thin">
        <color rgb="FF000000"/>
      </bottom>
    </border>
    <border>
      <left style="thin">
        <color rgb="FF000000"/>
      </left>
      <right/>
      <top style="thin">
        <color rgb="FF000000"/>
      </top>
      <bottom style="thin">
        <color rgb="FF000000"/>
      </bottom>
    </border>
    <border>
      <left/>
      <right style="thin">
        <color rgb="FF000000"/>
      </right>
      <top/>
      <bottom style="thin">
        <color rgb="FF000000"/>
      </bottom>
    </border>
    <border>
      <left style="thin">
        <color rgb="FF000000"/>
      </left>
      <right style="thin">
        <color rgb="FF000000"/>
      </right>
      <top/>
      <bottom style="thin">
        <color rgb="FF000000"/>
      </bottom>
    </border>
    <border>
      <left/>
      <right style="thin">
        <color rgb="FF000000"/>
      </right>
      <top style="thin">
        <color rgb="FF000000"/>
      </top>
      <bottom style="thin">
        <color rgb="FF000000"/>
      </bottom>
    </border>
    <border>
      <left style="thin">
        <color rgb="FF000000"/>
      </left>
      <right/>
      <top/>
      <bottom style="thin">
        <color rgb="FF000000"/>
      </bottom>
    </border>
    <border>
      <bottom style="thin">
        <color rgb="FF000000"/>
      </bottom>
    </border>
  </borders>
  <cellStyleXfs count="1">
    <xf borderId="0" fillId="0" fontId="0" numFmtId="0" applyAlignment="1" applyFont="1"/>
  </cellStyleXfs>
  <cellXfs count="71">
    <xf borderId="0" fillId="0" fontId="0" numFmtId="0" xfId="0" applyAlignment="1" applyFont="1">
      <alignment readingOrder="0" shrinkToFit="0" vertical="bottom" wrapText="0"/>
    </xf>
    <xf borderId="0" fillId="0" fontId="1" numFmtId="0" xfId="0" applyAlignment="1" applyFont="1">
      <alignment horizontal="center"/>
    </xf>
    <xf borderId="0" fillId="0" fontId="2" numFmtId="0" xfId="0" applyAlignment="1" applyFont="1">
      <alignment horizontal="center" shrinkToFit="0" vertical="center" wrapText="1"/>
    </xf>
    <xf borderId="0" fillId="0" fontId="3" numFmtId="0" xfId="0" applyAlignment="1" applyFont="1">
      <alignment horizontal="center" shrinkToFit="0" vertical="center" wrapText="1"/>
    </xf>
    <xf borderId="0" fillId="0" fontId="3" numFmtId="0" xfId="0" applyAlignment="1" applyFont="1">
      <alignment horizontal="left" readingOrder="0" shrinkToFit="0" vertical="center" wrapText="1"/>
    </xf>
    <xf borderId="1" fillId="2" fontId="4" numFmtId="0" xfId="0" applyAlignment="1" applyBorder="1" applyFill="1" applyFont="1">
      <alignment horizontal="center" vertical="center"/>
    </xf>
    <xf borderId="2" fillId="0" fontId="5" numFmtId="0" xfId="0" applyBorder="1" applyFont="1"/>
    <xf borderId="3" fillId="0" fontId="5" numFmtId="0" xfId="0" applyBorder="1" applyFont="1"/>
    <xf borderId="4" fillId="2" fontId="6" numFmtId="0" xfId="0" applyAlignment="1" applyBorder="1" applyFill="1" applyFont="1">
      <alignment horizontal="center" shrinkToFit="0" vertical="center" wrapText="1"/>
    </xf>
    <xf borderId="5" fillId="2" fontId="6" numFmtId="0" xfId="0" applyAlignment="1" applyBorder="1" applyFill="1" applyFont="1">
      <alignment horizontal="center" shrinkToFit="0" vertical="center" wrapText="1"/>
    </xf>
    <xf borderId="6" fillId="0" fontId="5" numFmtId="0" xfId="0" applyBorder="1" applyFont="1"/>
    <xf borderId="4" fillId="2" fontId="7" numFmtId="0" xfId="0" applyAlignment="1" applyBorder="1" applyFill="1" applyFont="1">
      <alignment horizontal="center" shrinkToFit="0" vertical="center" wrapText="1"/>
    </xf>
    <xf borderId="4" fillId="2" fontId="6" numFmtId="0" xfId="0" applyAlignment="1" applyBorder="1" applyFill="1" applyFont="1">
      <alignment horizontal="center" readingOrder="0" shrinkToFit="0" vertical="center" wrapText="1"/>
    </xf>
    <xf borderId="7" fillId="0" fontId="8" numFmtId="0" xfId="0" applyBorder="1" applyFont="1"/>
    <xf borderId="8" fillId="0" fontId="5" numFmtId="0" xfId="0" applyBorder="1" applyFont="1"/>
    <xf borderId="9" fillId="0" fontId="5" numFmtId="0" xfId="0" applyBorder="1" applyFont="1"/>
    <xf borderId="10" fillId="0" fontId="5" numFmtId="0" xfId="0" applyBorder="1" applyFont="1"/>
    <xf borderId="11" fillId="3" fontId="9" numFmtId="0" xfId="0" applyAlignment="1" applyBorder="1" applyFill="1" applyFont="1">
      <alignment horizontal="center" shrinkToFit="0" vertical="center" wrapText="1"/>
    </xf>
    <xf borderId="1" fillId="3" fontId="9" numFmtId="0" xfId="0" applyAlignment="1" applyBorder="1" applyFill="1" applyFont="1">
      <alignment horizontal="center" shrinkToFit="0" vertical="center" wrapText="1"/>
    </xf>
    <xf borderId="7" fillId="4" fontId="10" numFmtId="0" xfId="0" applyAlignment="1" applyBorder="1" applyFill="1" applyFont="1">
      <alignment horizontal="center" readingOrder="0" shrinkToFit="0" vertical="center" wrapText="1"/>
    </xf>
    <xf borderId="12" fillId="3" fontId="11" numFmtId="0" xfId="0" applyAlignment="1" applyBorder="1" applyFill="1" applyFont="1">
      <alignment horizontal="left" readingOrder="0" shrinkToFit="0" vertical="center" wrapText="1"/>
    </xf>
    <xf borderId="0" fillId="0" fontId="12" numFmtId="0" xfId="0" applyFont="1"/>
    <xf borderId="12" fillId="3" fontId="11" numFmtId="0" xfId="0" applyAlignment="1" applyBorder="1" applyFill="1" applyFont="1">
      <alignment horizontal="left" shrinkToFit="0" vertical="center" wrapText="1"/>
    </xf>
    <xf borderId="7" fillId="3" fontId="11" numFmtId="0" xfId="0" applyAlignment="1" applyBorder="1" applyFill="1" applyFont="1">
      <alignment shrinkToFit="0" vertical="center" wrapText="1"/>
    </xf>
    <xf borderId="7" fillId="5" fontId="10" numFmtId="0" xfId="0" applyAlignment="1" applyBorder="1" applyFill="1" applyFont="1">
      <alignment horizontal="center" readingOrder="0" shrinkToFit="0" vertical="center" wrapText="1"/>
    </xf>
    <xf borderId="0" fillId="0" fontId="8" numFmtId="0" xfId="0" applyAlignment="1" applyFont="1">
      <alignment vertical="top"/>
    </xf>
    <xf borderId="0" fillId="0" fontId="13" numFmtId="0" xfId="0" applyAlignment="1" applyFont="1">
      <alignment horizontal="left" vertical="top"/>
    </xf>
    <xf borderId="0" fillId="0" fontId="14" numFmtId="0" xfId="0" applyAlignment="1" applyFont="1">
      <alignment horizontal="left" readingOrder="0" shrinkToFit="0" vertical="top" wrapText="1"/>
    </xf>
    <xf borderId="0" fillId="0" fontId="14" numFmtId="0" xfId="0" applyAlignment="1" applyFont="1">
      <alignment horizontal="left" shrinkToFit="0" vertical="top" wrapText="1"/>
    </xf>
    <xf borderId="7" fillId="3" fontId="11" numFmtId="0" xfId="0" applyAlignment="1" applyBorder="1" applyFill="1" applyFont="1">
      <alignment horizontal="left" shrinkToFit="0" vertical="center" wrapText="1"/>
    </xf>
    <xf borderId="0" fillId="0" fontId="13" numFmtId="0" xfId="0" applyAlignment="1" applyFont="1">
      <alignment horizontal="left"/>
    </xf>
    <xf borderId="0" fillId="0" fontId="14" numFmtId="15" xfId="0" applyAlignment="1" applyFont="1" applyNumberFormat="1">
      <alignment horizontal="left" readingOrder="0" shrinkToFit="0" wrapText="1"/>
    </xf>
    <xf borderId="0" fillId="0" fontId="14" numFmtId="0" xfId="0" applyAlignment="1" applyFont="1">
      <alignment horizontal="left" readingOrder="0" shrinkToFit="0" wrapText="1"/>
    </xf>
    <xf borderId="0" fillId="0" fontId="15" numFmtId="0" xfId="0" applyAlignment="1" applyFont="1">
      <alignment horizontal="center" vertical="center"/>
    </xf>
    <xf borderId="0" fillId="0" fontId="14" numFmtId="15" xfId="0" applyAlignment="1" applyFont="1" applyNumberFormat="1">
      <alignment horizontal="left" shrinkToFit="0" wrapText="1"/>
    </xf>
    <xf borderId="12" fillId="6" fontId="14" numFmtId="0" xfId="0" applyAlignment="1" applyBorder="1" applyFill="1" applyFont="1">
      <alignment horizontal="center" readingOrder="0" shrinkToFit="0" vertical="center" wrapText="0"/>
    </xf>
    <xf borderId="13" fillId="6" fontId="14" numFmtId="0" xfId="0" applyAlignment="1" applyBorder="1" applyFill="1" applyFont="1">
      <alignment horizontal="center" readingOrder="0" shrinkToFit="0" vertical="center" wrapText="0"/>
    </xf>
    <xf borderId="14" fillId="3" fontId="11" numFmtId="0" xfId="0" applyAlignment="1" applyBorder="1" applyFill="1" applyFont="1">
      <alignment horizontal="left" shrinkToFit="0" vertical="center" wrapText="1"/>
    </xf>
    <xf borderId="15" fillId="6" fontId="14" numFmtId="0" xfId="0" applyAlignment="1" applyBorder="1" applyFill="1" applyFont="1">
      <alignment horizontal="center" readingOrder="0" shrinkToFit="0" vertical="center" wrapText="0"/>
    </xf>
    <xf borderId="3" fillId="0" fontId="8" numFmtId="0" xfId="0" applyAlignment="1" applyBorder="1" applyFont="1">
      <alignment horizontal="center" shrinkToFit="0" vertical="center" wrapText="0"/>
    </xf>
    <xf borderId="7" fillId="0" fontId="8" numFmtId="0" xfId="0" applyAlignment="1" applyBorder="1" applyFont="1">
      <alignment shrinkToFit="0" vertical="center" wrapText="1"/>
    </xf>
    <xf borderId="7" fillId="0" fontId="8" numFmtId="0" xfId="0" applyAlignment="1" applyBorder="1" applyFont="1">
      <alignment horizontal="center" shrinkToFit="0" vertical="center" wrapText="0"/>
    </xf>
    <xf borderId="1" fillId="0" fontId="8" numFmtId="0" xfId="0" applyAlignment="1" applyBorder="1" applyFont="1">
      <alignment horizontal="center" shrinkToFit="0" vertical="center" wrapText="0"/>
    </xf>
    <xf borderId="7" fillId="0" fontId="8" numFmtId="0" xfId="0" applyAlignment="1" applyBorder="1" applyFont="1">
      <alignment horizontal="center" readingOrder="0" shrinkToFit="0" vertical="center" wrapText="0"/>
    </xf>
    <xf borderId="1" fillId="0" fontId="8" numFmtId="0" xfId="0" applyAlignment="1" applyBorder="1" applyFont="1">
      <alignment horizontal="center" readingOrder="0" shrinkToFit="0" vertical="center" wrapText="0"/>
    </xf>
    <xf borderId="1" fillId="7" fontId="8" numFmtId="0" xfId="0" applyAlignment="1" applyBorder="1" applyFill="1" applyFont="1">
      <alignment horizontal="center" readingOrder="0" shrinkToFit="0" vertical="center" wrapText="0"/>
    </xf>
    <xf borderId="6" fillId="0" fontId="8" numFmtId="0" xfId="0" applyAlignment="1" applyBorder="1" applyFont="1">
      <alignment horizontal="center" shrinkToFit="0" vertical="center" wrapText="0"/>
    </xf>
    <xf borderId="4" fillId="0" fontId="8" numFmtId="0" xfId="0" applyAlignment="1" applyBorder="1" applyFont="1">
      <alignment shrinkToFit="0" vertical="center" wrapText="1"/>
    </xf>
    <xf borderId="4" fillId="0" fontId="8" numFmtId="0" xfId="0" applyAlignment="1" applyBorder="1" applyFont="1">
      <alignment horizontal="center" shrinkToFit="0" vertical="center" wrapText="0"/>
    </xf>
    <xf borderId="0" fillId="0" fontId="13" numFmtId="0" xfId="0" applyAlignment="1" applyFont="1">
      <alignment horizontal="left" vertical="center"/>
    </xf>
    <xf borderId="0" fillId="0" fontId="8" numFmtId="0" xfId="0" applyFont="1"/>
    <xf borderId="4" fillId="0" fontId="8" numFmtId="0" xfId="0" applyAlignment="1" applyBorder="1" applyFont="1">
      <alignment horizontal="center" readingOrder="0" shrinkToFit="0" vertical="center" wrapText="0"/>
    </xf>
    <xf borderId="0" fillId="0" fontId="8" numFmtId="9" xfId="0" applyFont="1" applyNumberFormat="1"/>
    <xf borderId="16" fillId="0" fontId="15" numFmtId="0" xfId="0" applyAlignment="1" applyBorder="1" applyFont="1">
      <alignment horizontal="center" vertical="center"/>
    </xf>
    <xf borderId="16" fillId="0" fontId="5" numFmtId="0" xfId="0" applyBorder="1" applyFont="1"/>
    <xf borderId="10" fillId="0" fontId="13" numFmtId="0" xfId="0" applyAlignment="1" applyBorder="1" applyFont="1">
      <alignment horizontal="center" readingOrder="0" shrinkToFit="0" vertical="center" wrapText="0"/>
    </xf>
    <xf borderId="8" fillId="0" fontId="13" numFmtId="0" xfId="0" applyAlignment="1" applyBorder="1" applyFont="1">
      <alignment horizontal="center" readingOrder="0" shrinkToFit="0" vertical="center" wrapText="0"/>
    </xf>
    <xf borderId="8" fillId="0" fontId="10" numFmtId="0" xfId="0" applyAlignment="1" applyBorder="1" applyFont="1">
      <alignment horizontal="center" readingOrder="0" shrinkToFit="0" vertical="center" wrapText="0"/>
    </xf>
    <xf borderId="9" fillId="0" fontId="10" numFmtId="0" xfId="0" applyAlignment="1" applyBorder="1" applyFont="1">
      <alignment horizontal="center" readingOrder="0" shrinkToFit="0" vertical="center" wrapText="0"/>
    </xf>
    <xf borderId="5" fillId="0" fontId="8" numFmtId="0" xfId="0" applyAlignment="1" applyBorder="1" applyFont="1">
      <alignment horizontal="center" shrinkToFit="0" vertical="center" wrapText="0"/>
    </xf>
    <xf borderId="0" fillId="0" fontId="16" numFmtId="0" xfId="0" applyAlignment="1" applyFont="1">
      <alignment horizontal="center" readingOrder="0" shrinkToFit="0" vertical="center" wrapText="0"/>
    </xf>
    <xf borderId="0" fillId="0" fontId="13" numFmtId="0" xfId="0" applyAlignment="1" applyFont="1">
      <alignment horizontal="center"/>
    </xf>
    <xf borderId="0" fillId="0" fontId="8" numFmtId="0" xfId="0" applyAlignment="1" applyFont="1">
      <alignment readingOrder="0"/>
    </xf>
    <xf borderId="7" fillId="0" fontId="8" numFmtId="0" xfId="0" applyAlignment="1" applyBorder="1" applyFont="1">
      <alignment readingOrder="0" shrinkToFit="0" vertical="center" wrapText="1"/>
    </xf>
    <xf borderId="7" fillId="8" fontId="17" numFmtId="0" xfId="0" applyAlignment="1" applyBorder="1" applyFill="1" applyFont="1">
      <alignment horizontal="center" vertical="center"/>
    </xf>
    <xf borderId="7" fillId="8" fontId="18" numFmtId="0" xfId="0" applyAlignment="1" applyBorder="1" applyFill="1" applyFont="1">
      <alignment horizontal="center" readingOrder="0" vertical="center"/>
    </xf>
    <xf borderId="7" fillId="0" fontId="8" numFmtId="0" xfId="0" applyAlignment="1" applyBorder="1" applyFont="1">
      <alignment shrinkToFit="0" wrapText="1"/>
    </xf>
    <xf borderId="7" fillId="0" fontId="8" numFmtId="0" xfId="0" applyAlignment="1" applyBorder="1" applyFont="1">
      <alignment readingOrder="0" shrinkToFit="0" wrapText="1"/>
    </xf>
    <xf borderId="7" fillId="0" fontId="8" numFmtId="0" xfId="0" applyAlignment="1" applyBorder="1" applyFont="1">
      <alignment readingOrder="0"/>
    </xf>
    <xf borderId="7" fillId="0" fontId="16" numFmtId="0" xfId="0" applyAlignment="1" applyBorder="1" applyFont="1">
      <alignment readingOrder="0" shrinkToFit="0" wrapText="1"/>
    </xf>
    <xf borderId="0" fillId="0" fontId="16" numFmtId="0" xfId="0" applyAlignment="1" applyFont="1">
      <alignment readingOrder="0"/>
    </xf>
  </cellXfs>
  <cellStyles count="1">
    <cellStyle xfId="0" name="Normal" builtinId="0"/>
  </cellStyles>
  <dxfs count="16">
    <dxf>
      <font/>
      <fill>
        <patternFill patternType="none"/>
      </fill>
      <border/>
    </dxf>
    <dxf>
      <font/>
      <fill>
        <patternFill patternType="solid">
          <fgColor theme="0"/>
          <bgColor theme="0"/>
        </patternFill>
      </fill>
      <border/>
    </dxf>
    <dxf>
      <font/>
      <fill>
        <patternFill patternType="solid">
          <fgColor rgb="FFD8D8D8"/>
          <bgColor rgb="FFD8D8D8"/>
        </patternFill>
      </fill>
      <border/>
    </dxf>
    <dxf>
      <font/>
      <fill>
        <patternFill patternType="solid">
          <fgColor rgb="FFB8CCE4"/>
          <bgColor rgb="FFB8CCE4"/>
        </patternFill>
      </fill>
      <border/>
    </dxf>
    <dxf>
      <border>
        <left style="thin">
          <color theme="0"/>
        </left>
        <right style="thin">
          <color theme="0"/>
        </right>
        <top style="thin">
          <color theme="0"/>
        </top>
        <bottom style="thin">
          <color theme="0"/>
        </bottom>
      </border>
    </dxf>
    <dxf>
      <font/>
      <fill>
        <patternFill patternType="solid">
          <fgColor theme="6"/>
          <bgColor theme="6"/>
        </patternFill>
      </fill>
      <border/>
    </dxf>
    <dxf>
      <font/>
      <fill>
        <patternFill patternType="solid">
          <fgColor rgb="FFEAF1DD"/>
          <bgColor rgb="FFEAF1DD"/>
        </patternFill>
      </fill>
      <border/>
    </dxf>
    <dxf>
      <border>
        <left style="thin">
          <color theme="6"/>
        </left>
        <right style="thin">
          <color theme="6"/>
        </right>
        <top style="thin">
          <color theme="6"/>
        </top>
        <bottom style="thin">
          <color theme="6"/>
        </bottom>
      </border>
    </dxf>
    <dxf>
      <font/>
      <fill>
        <patternFill patternType="solid">
          <fgColor theme="9"/>
          <bgColor theme="9"/>
        </patternFill>
      </fill>
      <border/>
    </dxf>
    <dxf>
      <font/>
      <fill>
        <patternFill patternType="solid">
          <fgColor rgb="FFFDE9D9"/>
          <bgColor rgb="FFFDE9D9"/>
        </patternFill>
      </fill>
      <border/>
    </dxf>
    <dxf>
      <border>
        <left style="thin">
          <color theme="9"/>
        </left>
        <right style="thin">
          <color theme="9"/>
        </right>
        <top style="thin">
          <color theme="9"/>
        </top>
        <bottom style="thin">
          <color theme="9"/>
        </bottom>
      </border>
    </dxf>
    <dxf>
      <font/>
      <fill>
        <patternFill patternType="solid">
          <fgColor rgb="FFFFC7CE"/>
          <bgColor rgb="FFFFC7CE"/>
        </patternFill>
      </fill>
      <border/>
    </dxf>
    <dxf>
      <font>
        <color rgb="FF006100"/>
      </font>
      <fill>
        <patternFill patternType="solid">
          <fgColor rgb="FFC6EFCE"/>
          <bgColor rgb="FFC6EFCE"/>
        </patternFill>
      </fill>
      <border/>
    </dxf>
    <dxf>
      <font>
        <color rgb="FF9C0006"/>
      </font>
      <fill>
        <patternFill patternType="solid">
          <fgColor rgb="FFFFC7CE"/>
          <bgColor rgb="FFFFC7CE"/>
        </patternFill>
      </fill>
      <border/>
    </dxf>
    <dxf>
      <font>
        <b/>
      </font>
      <fill>
        <patternFill patternType="solid">
          <fgColor rgb="FFFF0000"/>
          <bgColor rgb="FFFF0000"/>
        </patternFill>
      </fill>
      <border/>
    </dxf>
    <dxf>
      <font>
        <color rgb="FFFF0000"/>
      </font>
      <fill>
        <patternFill patternType="none"/>
      </fill>
      <border/>
    </dxf>
  </dxfs>
  <tableStyles count="9">
    <tableStyle count="4" pivot="0" name="Hoja 2-style">
      <tableStyleElement dxfId="1" type="headerRow"/>
      <tableStyleElement dxfId="2" type="firstRowStripe"/>
      <tableStyleElement dxfId="3" type="secondRowStripe"/>
      <tableStyleElement dxfId="4" size="0" type="wholeTable"/>
    </tableStyle>
    <tableStyle count="4" pivot="0" name="Hoja 1-style">
      <tableStyleElement dxfId="1" type="headerRow"/>
      <tableStyleElement dxfId="2" type="firstRowStripe"/>
      <tableStyleElement dxfId="3" type="secondRowStripe"/>
      <tableStyleElement dxfId="4" size="0" type="wholeTable"/>
    </tableStyle>
    <tableStyle count="4" pivot="0" name="MODELO LISTA DE COMPROBACION - -style">
      <tableStyleElement dxfId="1" type="headerRow"/>
      <tableStyleElement dxfId="2" type="firstRowStripe"/>
      <tableStyleElement dxfId="3" type="secondRowStripe"/>
      <tableStyleElement dxfId="4" size="0" type="wholeTable"/>
    </tableStyle>
    <tableStyle count="4" pivot="0" name="Hoja 2-style 2">
      <tableStyleElement dxfId="5" type="headerRow"/>
      <tableStyleElement dxfId="6" type="firstRowStripe"/>
      <tableStyleElement dxfId="3" type="secondRowStripe"/>
      <tableStyleElement dxfId="7" size="0" type="wholeTable"/>
    </tableStyle>
    <tableStyle count="4" pivot="0" name="Hoja 1-style 2">
      <tableStyleElement dxfId="5" type="headerRow"/>
      <tableStyleElement dxfId="6" type="firstRowStripe"/>
      <tableStyleElement dxfId="3" type="secondRowStripe"/>
      <tableStyleElement dxfId="7" size="0" type="wholeTable"/>
    </tableStyle>
    <tableStyle count="4" pivot="0" name="MODELO LISTA DE COMPROBACION - -style 2">
      <tableStyleElement dxfId="5" type="headerRow"/>
      <tableStyleElement dxfId="6" type="firstRowStripe"/>
      <tableStyleElement dxfId="3" type="secondRowStripe"/>
      <tableStyleElement dxfId="7" size="0" type="wholeTable"/>
    </tableStyle>
    <tableStyle count="4" pivot="0" name="Hoja 2-style 3">
      <tableStyleElement dxfId="8" type="headerRow"/>
      <tableStyleElement dxfId="9" type="firstRowStripe"/>
      <tableStyleElement dxfId="3" type="secondRowStripe"/>
      <tableStyleElement dxfId="10" size="0" type="wholeTable"/>
    </tableStyle>
    <tableStyle count="4" pivot="0" name="Hoja 1-style 3">
      <tableStyleElement dxfId="8" type="headerRow"/>
      <tableStyleElement dxfId="9" type="firstRowStripe"/>
      <tableStyleElement dxfId="3" type="secondRowStripe"/>
      <tableStyleElement dxfId="10" size="0" type="wholeTable"/>
    </tableStyle>
    <tableStyle count="4" pivot="0" name="MODELO LISTA DE COMPROBACION - -style 3">
      <tableStyleElement dxfId="8" type="headerRow"/>
      <tableStyleElement dxfId="9" type="firstRowStripe"/>
      <tableStyleElement dxfId="3" type="secondRowStripe"/>
      <tableStyleElement dxfId="10"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757575"/>
                </a:solidFill>
                <a:latin typeface="+mn-lt"/>
              </a:defRPr>
            </a:pPr>
            <a:r>
              <a:rPr b="1" i="0">
                <a:solidFill>
                  <a:srgbClr val="757575"/>
                </a:solidFill>
                <a:latin typeface="+mn-lt"/>
              </a:rPr>
              <a:t>CRITERIO DE CALIDAD </a:t>
            </a:r>
          </a:p>
        </c:rich>
      </c:tx>
      <c:layout>
        <c:manualLayout>
          <c:xMode val="edge"/>
          <c:yMode val="edge"/>
          <c:x val="0.3094930008748907"/>
          <c:y val="0.06018518518518518"/>
        </c:manualLayout>
      </c:layout>
      <c:overlay val="0"/>
    </c:title>
    <c:view3D>
      <c:rotX val="50"/>
      <c:perspective val="0"/>
    </c:view3D>
    <c:plotArea>
      <c:layout/>
      <c:pie3DChart>
        <c:varyColors val="1"/>
        <c:ser>
          <c:idx val="0"/>
          <c:order val="0"/>
          <c:dPt>
            <c:idx val="0"/>
            <c:spPr>
              <a:solidFill>
                <a:srgbClr val="4F81BD"/>
              </a:solidFill>
            </c:spPr>
          </c:dPt>
          <c:dPt>
            <c:idx val="1"/>
            <c:spPr>
              <a:solidFill>
                <a:srgbClr val="C0504D"/>
              </a:solidFill>
            </c:spPr>
          </c:dPt>
          <c:dPt>
            <c:idx val="2"/>
            <c:spPr>
              <a:solidFill>
                <a:srgbClr val="9BBB59"/>
              </a:solidFill>
            </c:spPr>
          </c:dPt>
          <c:dLbls>
            <c:showLegendKey val="0"/>
            <c:showVal val="0"/>
            <c:showCatName val="0"/>
            <c:showSerName val="0"/>
            <c:showPercent val="1"/>
            <c:showBubbleSize val="0"/>
            <c:showLeaderLines val="1"/>
          </c:dLbls>
          <c:cat>
            <c:strRef>
              <c:f>'MODELO LISTA DE COMPROBACION - '!$B$41:$B$43</c:f>
            </c:strRef>
          </c:cat>
          <c:val>
            <c:numRef>
              <c:f>'MODELO LISTA DE COMPROBACION - '!$C$41:$C$43</c:f>
              <c:numCache/>
            </c:numRef>
          </c:val>
        </c:ser>
        <c:dLbls>
          <c:showLegendKey val="0"/>
          <c:showVal val="0"/>
          <c:showCatName val="0"/>
          <c:showSerName val="0"/>
          <c:showPercent val="0"/>
          <c:showBubbleSize val="0"/>
        </c:dLbls>
      </c:pie3DChart>
    </c:plotArea>
    <c:legend>
      <c:legendPos val="r"/>
      <c:overlay val="0"/>
      <c:txPr>
        <a:bodyPr/>
        <a:lstStyle/>
        <a:p>
          <a:pPr lvl="0">
            <a:defRPr b="0" i="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757575"/>
                </a:solidFill>
                <a:latin typeface="+mn-lt"/>
              </a:defRPr>
            </a:pPr>
            <a:r>
              <a:rPr b="1" i="0">
                <a:solidFill>
                  <a:srgbClr val="757575"/>
                </a:solidFill>
                <a:latin typeface="+mn-lt"/>
              </a:rPr>
              <a:t>CRITERIO DE CALIDAD </a:t>
            </a:r>
          </a:p>
        </c:rich>
      </c:tx>
      <c:layout>
        <c:manualLayout>
          <c:xMode val="edge"/>
          <c:yMode val="edge"/>
          <c:x val="0.3094930008748907"/>
          <c:y val="0.06018518518518518"/>
        </c:manualLayout>
      </c:layout>
      <c:overlay val="0"/>
    </c:title>
    <c:view3D>
      <c:rotX val="50"/>
      <c:perspective val="0"/>
    </c:view3D>
    <c:plotArea>
      <c:layout/>
      <c:pie3DChart>
        <c:varyColors val="1"/>
        <c:ser>
          <c:idx val="0"/>
          <c:order val="0"/>
          <c:dPt>
            <c:idx val="0"/>
            <c:spPr>
              <a:solidFill>
                <a:srgbClr val="4F81BD"/>
              </a:solidFill>
            </c:spPr>
          </c:dPt>
          <c:dPt>
            <c:idx val="1"/>
            <c:spPr>
              <a:solidFill>
                <a:srgbClr val="C0504D"/>
              </a:solidFill>
            </c:spPr>
          </c:dPt>
          <c:dPt>
            <c:idx val="2"/>
            <c:spPr>
              <a:solidFill>
                <a:srgbClr val="9BBB59"/>
              </a:solidFill>
            </c:spPr>
          </c:dPt>
          <c:dLbls>
            <c:showLegendKey val="0"/>
            <c:showVal val="0"/>
            <c:showCatName val="0"/>
            <c:showSerName val="0"/>
            <c:showPercent val="1"/>
            <c:showBubbleSize val="0"/>
            <c:showLeaderLines val="1"/>
          </c:dLbls>
          <c:cat>
            <c:strRef>
              <c:f>'Hoja 1'!$B$41:$B$43</c:f>
            </c:strRef>
          </c:cat>
          <c:val>
            <c:numRef>
              <c:f>'Hoja 1'!$C$41:$C$43</c:f>
              <c:numCache/>
            </c:numRef>
          </c:val>
        </c:ser>
        <c:dLbls>
          <c:showLegendKey val="0"/>
          <c:showVal val="0"/>
          <c:showCatName val="0"/>
          <c:showSerName val="0"/>
          <c:showPercent val="0"/>
          <c:showBubbleSize val="0"/>
        </c:dLbls>
      </c:pie3DChart>
    </c:plotArea>
    <c:legend>
      <c:legendPos val="r"/>
      <c:overlay val="0"/>
      <c:txPr>
        <a:bodyPr/>
        <a:lstStyle/>
        <a:p>
          <a:pPr lvl="0">
            <a:defRPr b="0" i="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757575"/>
                </a:solidFill>
                <a:latin typeface="+mn-lt"/>
              </a:defRPr>
            </a:pPr>
            <a:r>
              <a:rPr b="1" i="0">
                <a:solidFill>
                  <a:srgbClr val="757575"/>
                </a:solidFill>
                <a:latin typeface="+mn-lt"/>
              </a:rPr>
              <a:t>CRITERIO DE CALIDAD </a:t>
            </a:r>
          </a:p>
        </c:rich>
      </c:tx>
      <c:layout>
        <c:manualLayout>
          <c:xMode val="edge"/>
          <c:yMode val="edge"/>
          <c:x val="0.3094930008748907"/>
          <c:y val="0.06018518518518518"/>
        </c:manualLayout>
      </c:layout>
      <c:overlay val="0"/>
    </c:title>
    <c:view3D>
      <c:rotX val="50"/>
      <c:perspective val="0"/>
    </c:view3D>
    <c:plotArea>
      <c:layout/>
      <c:pie3DChart>
        <c:varyColors val="1"/>
        <c:ser>
          <c:idx val="0"/>
          <c:order val="0"/>
          <c:dPt>
            <c:idx val="0"/>
            <c:spPr>
              <a:solidFill>
                <a:srgbClr val="4F81BD"/>
              </a:solidFill>
            </c:spPr>
          </c:dPt>
          <c:dPt>
            <c:idx val="1"/>
            <c:spPr>
              <a:solidFill>
                <a:srgbClr val="C0504D"/>
              </a:solidFill>
            </c:spPr>
          </c:dPt>
          <c:dPt>
            <c:idx val="2"/>
            <c:spPr>
              <a:solidFill>
                <a:srgbClr val="9BBB59"/>
              </a:solidFill>
            </c:spPr>
          </c:dPt>
          <c:dLbls>
            <c:showLegendKey val="0"/>
            <c:showVal val="0"/>
            <c:showCatName val="0"/>
            <c:showSerName val="0"/>
            <c:showPercent val="1"/>
            <c:showBubbleSize val="0"/>
            <c:showLeaderLines val="1"/>
          </c:dLbls>
          <c:cat>
            <c:strRef>
              <c:f>'Hoja 2'!$B$41:$B$43</c:f>
            </c:strRef>
          </c:cat>
          <c:val>
            <c:numRef>
              <c:f>'Hoja 2'!$C$41:$C$43</c:f>
              <c:numCache/>
            </c:numRef>
          </c:val>
        </c:ser>
        <c:dLbls>
          <c:showLegendKey val="0"/>
          <c:showVal val="0"/>
          <c:showCatName val="0"/>
          <c:showSerName val="0"/>
          <c:showPercent val="0"/>
          <c:showBubbleSize val="0"/>
        </c:dLbls>
      </c:pie3DChart>
    </c:plotArea>
    <c:legend>
      <c:legendPos val="r"/>
      <c:overlay val="0"/>
      <c:txPr>
        <a:bodyPr/>
        <a:lstStyle/>
        <a:p>
          <a:pPr lvl="0">
            <a:defRPr b="0" i="0">
              <a:solidFill>
                <a:srgbClr val="1A1A1A"/>
              </a:solidFill>
              <a:latin typeface="+mn-lt"/>
            </a:defRPr>
          </a:pPr>
        </a:p>
      </c:txPr>
    </c:legend>
    <c:plotVisOnly val="1"/>
  </c:chart>
</c:chartSpac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247650</xdr:colOff>
      <xdr:row>33</xdr:row>
      <xdr:rowOff>485775</xdr:rowOff>
    </xdr:from>
    <xdr:ext cx="4286250" cy="2143125"/>
    <xdr:graphicFrame>
      <xdr:nvGraphicFramePr>
        <xdr:cNvPr id="2" name="Chart 2"/>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247650</xdr:colOff>
      <xdr:row>33</xdr:row>
      <xdr:rowOff>485775</xdr:rowOff>
    </xdr:from>
    <xdr:ext cx="4286250" cy="2143125"/>
    <xdr:graphicFrame>
      <xdr:nvGraphicFramePr>
        <xdr:cNvPr id="3" name="Chart 3"/>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247650</xdr:colOff>
      <xdr:row>33</xdr:row>
      <xdr:rowOff>485775</xdr:rowOff>
    </xdr:from>
    <xdr:ext cx="4286250" cy="2143125"/>
    <xdr:graphicFrame>
      <xdr:nvGraphicFramePr>
        <xdr:cNvPr id="1" name="Chart 1"/>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7:D16" displayName="Table_1" name="Table_1" id="3">
  <tableColumns count="4">
    <tableColumn name="No." id="1"/>
    <tableColumn name="Pregunta" id="2"/>
    <tableColumn name="SI" id="3"/>
    <tableColumn name="NO " id="4"/>
  </tableColumns>
  <tableStyleInfo name="MODELO LISTA DE COMPROBACION - -style" showColumnStripes="0" showFirstColumn="1" showLastColumn="1" showRowStripes="1"/>
</table>
</file>

<file path=xl/tables/table2.xml><?xml version="1.0" encoding="utf-8"?>
<table xmlns="http://schemas.openxmlformats.org/spreadsheetml/2006/main" ref="A21:D26" displayName="Table_2" name="Table_2" id="6">
  <tableColumns count="4">
    <tableColumn name="No." id="1"/>
    <tableColumn name="Pregunta" id="2"/>
    <tableColumn name="SI" id="3"/>
    <tableColumn name="NO " id="4"/>
  </tableColumns>
  <tableStyleInfo name="MODELO LISTA DE COMPROBACION - -style 2" showColumnStripes="0" showFirstColumn="1" showLastColumn="1" showRowStripes="1"/>
</table>
</file>

<file path=xl/tables/table3.xml><?xml version="1.0" encoding="utf-8"?>
<table xmlns="http://schemas.openxmlformats.org/spreadsheetml/2006/main" ref="A31:D34" displayName="Table_3" name="Table_3" id="9">
  <tableColumns count="4">
    <tableColumn name="No." id="1"/>
    <tableColumn name="Pregunta" id="2"/>
    <tableColumn name="SI" id="3"/>
    <tableColumn name="NO " id="4"/>
  </tableColumns>
  <tableStyleInfo name="MODELO LISTA DE COMPROBACION - -style 3" showColumnStripes="0" showFirstColumn="1" showLastColumn="1" showRowStripes="1"/>
</table>
</file>

<file path=xl/tables/table4.xml><?xml version="1.0" encoding="utf-8"?>
<table xmlns="http://schemas.openxmlformats.org/spreadsheetml/2006/main" ref="A7:D16" displayName="Table_4" name="Table_4" id="2">
  <tableColumns count="4">
    <tableColumn name="No." id="1"/>
    <tableColumn name="Pregunta" id="2"/>
    <tableColumn name="SI" id="3"/>
    <tableColumn name="NO " id="4"/>
  </tableColumns>
  <tableStyleInfo name="Hoja 1-style" showColumnStripes="0" showFirstColumn="1" showLastColumn="1" showRowStripes="1"/>
</table>
</file>

<file path=xl/tables/table5.xml><?xml version="1.0" encoding="utf-8"?>
<table xmlns="http://schemas.openxmlformats.org/spreadsheetml/2006/main" ref="A21:D26" displayName="Table_5" name="Table_5" id="5">
  <tableColumns count="4">
    <tableColumn name="No." id="1"/>
    <tableColumn name="Pregunta" id="2"/>
    <tableColumn name="SI" id="3"/>
    <tableColumn name="NO " id="4"/>
  </tableColumns>
  <tableStyleInfo name="Hoja 1-style 2" showColumnStripes="0" showFirstColumn="1" showLastColumn="1" showRowStripes="1"/>
</table>
</file>

<file path=xl/tables/table6.xml><?xml version="1.0" encoding="utf-8"?>
<table xmlns="http://schemas.openxmlformats.org/spreadsheetml/2006/main" ref="A31:D34" displayName="Table_6" name="Table_6" id="8">
  <tableColumns count="4">
    <tableColumn name="No." id="1"/>
    <tableColumn name="Pregunta" id="2"/>
    <tableColumn name="SI" id="3"/>
    <tableColumn name="NO " id="4"/>
  </tableColumns>
  <tableStyleInfo name="Hoja 1-style 3" showColumnStripes="0" showFirstColumn="1" showLastColumn="1" showRowStripes="1"/>
</table>
</file>

<file path=xl/tables/table7.xml><?xml version="1.0" encoding="utf-8"?>
<table xmlns="http://schemas.openxmlformats.org/spreadsheetml/2006/main" ref="A7:D16" displayName="Table" name="Table" id="1">
  <tableColumns count="4">
    <tableColumn name="No." id="1"/>
    <tableColumn name="Pregunta" id="2"/>
    <tableColumn name="SI" id="3"/>
    <tableColumn name="NO " id="4"/>
  </tableColumns>
  <tableStyleInfo name="Hoja 2-style" showColumnStripes="0" showFirstColumn="1" showLastColumn="1" showRowStripes="1"/>
</table>
</file>

<file path=xl/tables/table8.xml><?xml version="1.0" encoding="utf-8"?>
<table xmlns="http://schemas.openxmlformats.org/spreadsheetml/2006/main" ref="A21:D26" displayName="Table_10" name="Table_10" id="4">
  <tableColumns count="4">
    <tableColumn name="No." id="1"/>
    <tableColumn name="Pregunta" id="2"/>
    <tableColumn name="SI" id="3"/>
    <tableColumn name="NO " id="4"/>
  </tableColumns>
  <tableStyleInfo name="Hoja 2-style 2" showColumnStripes="0" showFirstColumn="1" showLastColumn="1" showRowStripes="1"/>
</table>
</file>

<file path=xl/tables/table9.xml><?xml version="1.0" encoding="utf-8"?>
<table xmlns="http://schemas.openxmlformats.org/spreadsheetml/2006/main" ref="A31:D34" displayName="Table_11" name="Table_11" id="7">
  <tableColumns count="4">
    <tableColumn name="No." id="1"/>
    <tableColumn name="Pregunta" id="2"/>
    <tableColumn name="SI" id="3"/>
    <tableColumn name="NO " id="4"/>
  </tableColumns>
  <tableStyleInfo name="Hoja 2-style 3"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9" Type="http://schemas.openxmlformats.org/officeDocument/2006/relationships/table" Target="../tables/table3.xml"/><Relationship Id="rId7" Type="http://schemas.openxmlformats.org/officeDocument/2006/relationships/table" Target="../tables/table1.xml"/><Relationship Id="rId8"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 Id="rId9" Type="http://schemas.openxmlformats.org/officeDocument/2006/relationships/table" Target="../tables/table6.xml"/><Relationship Id="rId7" Type="http://schemas.openxmlformats.org/officeDocument/2006/relationships/table" Target="../tables/table4.xml"/><Relationship Id="rId8" Type="http://schemas.openxmlformats.org/officeDocument/2006/relationships/table" Target="../tables/table5.x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 Id="rId9" Type="http://schemas.openxmlformats.org/officeDocument/2006/relationships/table" Target="../tables/table9.xml"/><Relationship Id="rId7" Type="http://schemas.openxmlformats.org/officeDocument/2006/relationships/table" Target="../tables/table7.xml"/><Relationship Id="rId8" Type="http://schemas.openxmlformats.org/officeDocument/2006/relationships/table" Target="../tables/table8.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4.57"/>
    <col customWidth="1" min="2" max="2" width="4.43"/>
    <col customWidth="1" min="3" max="3" width="3.71"/>
    <col customWidth="1" min="4" max="4" width="34.86"/>
    <col customWidth="1" min="5" max="5" width="9.71"/>
    <col customWidth="1" min="6" max="6" width="42.71"/>
    <col customWidth="1" min="7" max="7" width="10.14"/>
    <col customWidth="1" hidden="1" min="8" max="8" width="4.71"/>
    <col customWidth="1" min="9" max="9" width="42.71"/>
    <col customWidth="1" min="10" max="10" width="9.86"/>
    <col customWidth="1" min="11" max="11" width="39.57"/>
  </cols>
  <sheetData>
    <row r="1" ht="14.25" customHeight="1">
      <c r="C1" s="1"/>
    </row>
    <row r="2" ht="14.25" customHeight="1">
      <c r="C2" s="1"/>
    </row>
    <row r="3" ht="30.0" customHeight="1">
      <c r="C3" s="2" t="s">
        <v>0</v>
      </c>
    </row>
    <row r="4" ht="30.0" customHeight="1"/>
    <row r="5" ht="30.0" customHeight="1">
      <c r="C5" s="2"/>
      <c r="D5" s="3" t="s">
        <v>1</v>
      </c>
      <c r="E5" s="4" t="s">
        <v>2</v>
      </c>
    </row>
    <row r="6" ht="47.25" customHeight="1">
      <c r="C6" s="1"/>
      <c r="F6" s="5" t="s">
        <v>3</v>
      </c>
      <c r="G6" s="6"/>
      <c r="H6" s="6"/>
      <c r="I6" s="6"/>
      <c r="J6" s="6"/>
      <c r="K6" s="7"/>
    </row>
    <row r="7" ht="45.0" customHeight="1">
      <c r="B7" s="8" t="s">
        <v>4</v>
      </c>
      <c r="C7" s="9" t="s">
        <v>5</v>
      </c>
      <c r="D7" s="10"/>
      <c r="E7" s="11" t="s">
        <v>6</v>
      </c>
      <c r="F7" s="12" t="s">
        <v>7</v>
      </c>
      <c r="G7" s="11" t="s">
        <v>6</v>
      </c>
      <c r="H7" s="13">
        <v>100.0</v>
      </c>
      <c r="I7" s="12" t="s">
        <v>8</v>
      </c>
      <c r="J7" s="11" t="s">
        <v>6</v>
      </c>
      <c r="K7" s="12" t="s">
        <v>9</v>
      </c>
    </row>
    <row r="8" ht="47.25" customHeight="1">
      <c r="B8" s="14"/>
      <c r="C8" s="15"/>
      <c r="D8" s="16"/>
      <c r="E8" s="14"/>
      <c r="F8" s="14"/>
      <c r="G8" s="14"/>
      <c r="H8" s="13">
        <v>0.0</v>
      </c>
      <c r="I8" s="14"/>
      <c r="J8" s="14"/>
      <c r="K8" s="14"/>
    </row>
    <row r="9" ht="17.25" customHeight="1">
      <c r="B9" s="17">
        <v>1.0</v>
      </c>
      <c r="C9" s="18" t="s">
        <v>10</v>
      </c>
      <c r="D9" s="7"/>
      <c r="E9" s="19" t="s">
        <v>11</v>
      </c>
      <c r="F9" s="20" t="s">
        <v>12</v>
      </c>
      <c r="G9" s="19" t="s">
        <v>11</v>
      </c>
      <c r="H9" s="21">
        <v>1.0</v>
      </c>
      <c r="I9" s="22" t="s">
        <v>13</v>
      </c>
      <c r="J9" s="19" t="s">
        <v>11</v>
      </c>
      <c r="K9" s="22" t="s">
        <v>13</v>
      </c>
    </row>
    <row r="10" ht="30.75" customHeight="1">
      <c r="B10" s="17">
        <v>2.0</v>
      </c>
      <c r="C10" s="18" t="s">
        <v>14</v>
      </c>
      <c r="D10" s="7"/>
      <c r="E10" s="19" t="s">
        <v>11</v>
      </c>
      <c r="F10" s="23" t="s">
        <v>15</v>
      </c>
      <c r="G10" s="19" t="s">
        <v>11</v>
      </c>
      <c r="I10" s="23" t="s">
        <v>15</v>
      </c>
      <c r="J10" s="19" t="s">
        <v>11</v>
      </c>
      <c r="K10" s="23" t="s">
        <v>15</v>
      </c>
    </row>
    <row r="11" ht="27.75" customHeight="1">
      <c r="B11" s="17">
        <v>3.0</v>
      </c>
      <c r="C11" s="18" t="s">
        <v>16</v>
      </c>
      <c r="D11" s="7"/>
      <c r="E11" s="24" t="s">
        <v>17</v>
      </c>
      <c r="F11" s="23" t="s">
        <v>18</v>
      </c>
      <c r="G11" s="24" t="s">
        <v>17</v>
      </c>
      <c r="I11" s="23" t="s">
        <v>18</v>
      </c>
      <c r="J11" s="24" t="s">
        <v>17</v>
      </c>
      <c r="K11" s="23" t="s">
        <v>18</v>
      </c>
    </row>
    <row r="12" ht="27.0" customHeight="1">
      <c r="B12" s="17">
        <v>4.0</v>
      </c>
      <c r="C12" s="18" t="s">
        <v>19</v>
      </c>
      <c r="D12" s="7"/>
      <c r="E12" s="24" t="s">
        <v>17</v>
      </c>
      <c r="F12" s="29" t="s">
        <v>21</v>
      </c>
      <c r="G12" s="24" t="s">
        <v>17</v>
      </c>
      <c r="I12" s="29" t="s">
        <v>23</v>
      </c>
      <c r="J12" s="24" t="s">
        <v>17</v>
      </c>
      <c r="K12" s="29" t="s">
        <v>24</v>
      </c>
    </row>
    <row r="13" ht="23.25" customHeight="1">
      <c r="B13" s="17">
        <v>5.0</v>
      </c>
      <c r="C13" s="18" t="s">
        <v>25</v>
      </c>
      <c r="D13" s="7"/>
      <c r="E13" s="24" t="s">
        <v>17</v>
      </c>
      <c r="F13" s="29" t="s">
        <v>29</v>
      </c>
      <c r="G13" s="24" t="s">
        <v>17</v>
      </c>
      <c r="I13" s="29" t="s">
        <v>29</v>
      </c>
      <c r="J13" s="24" t="s">
        <v>17</v>
      </c>
      <c r="K13" s="29" t="s">
        <v>29</v>
      </c>
    </row>
    <row r="14" ht="23.25" customHeight="1">
      <c r="B14" s="17">
        <v>6.0</v>
      </c>
      <c r="C14" s="18" t="s">
        <v>31</v>
      </c>
      <c r="D14" s="7"/>
      <c r="E14" s="19" t="s">
        <v>11</v>
      </c>
      <c r="F14" s="29" t="s">
        <v>33</v>
      </c>
      <c r="G14" s="19" t="s">
        <v>11</v>
      </c>
      <c r="I14" s="29" t="s">
        <v>34</v>
      </c>
      <c r="J14" s="19" t="s">
        <v>11</v>
      </c>
      <c r="K14" s="29" t="s">
        <v>34</v>
      </c>
    </row>
    <row r="15" ht="24.0" customHeight="1">
      <c r="B15" s="17">
        <v>7.0</v>
      </c>
      <c r="C15" s="18" t="s">
        <v>35</v>
      </c>
      <c r="D15" s="7"/>
      <c r="E15" s="19" t="s">
        <v>11</v>
      </c>
      <c r="F15" s="29" t="s">
        <v>37</v>
      </c>
      <c r="G15" s="19" t="s">
        <v>11</v>
      </c>
      <c r="I15" s="29" t="s">
        <v>37</v>
      </c>
      <c r="J15" s="19" t="s">
        <v>11</v>
      </c>
      <c r="K15" s="29" t="s">
        <v>37</v>
      </c>
    </row>
    <row r="16" ht="30.75" customHeight="1">
      <c r="B16" s="17">
        <v>8.0</v>
      </c>
      <c r="C16" s="18" t="s">
        <v>38</v>
      </c>
      <c r="D16" s="7"/>
      <c r="E16" s="19" t="s">
        <v>11</v>
      </c>
      <c r="F16" s="29" t="s">
        <v>39</v>
      </c>
      <c r="G16" s="19" t="s">
        <v>11</v>
      </c>
      <c r="I16" s="29" t="s">
        <v>39</v>
      </c>
      <c r="J16" s="19" t="s">
        <v>11</v>
      </c>
      <c r="K16" s="29" t="s">
        <v>39</v>
      </c>
    </row>
    <row r="17" ht="21.75" customHeight="1">
      <c r="B17" s="17">
        <v>9.0</v>
      </c>
      <c r="C17" s="18" t="s">
        <v>41</v>
      </c>
      <c r="D17" s="7"/>
      <c r="E17" s="24" t="s">
        <v>17</v>
      </c>
      <c r="F17" s="37" t="s">
        <v>42</v>
      </c>
      <c r="G17" s="24" t="s">
        <v>17</v>
      </c>
      <c r="I17" s="37" t="s">
        <v>42</v>
      </c>
      <c r="J17" s="24" t="s">
        <v>17</v>
      </c>
      <c r="K17" s="37" t="s">
        <v>44</v>
      </c>
    </row>
    <row r="18" ht="18.75" customHeight="1">
      <c r="B18" s="17">
        <v>10.0</v>
      </c>
      <c r="C18" s="18" t="s">
        <v>45</v>
      </c>
      <c r="D18" s="7"/>
      <c r="E18" s="24" t="s">
        <v>17</v>
      </c>
      <c r="F18" s="29" t="s">
        <v>47</v>
      </c>
      <c r="G18" s="24" t="s">
        <v>17</v>
      </c>
      <c r="I18" s="29" t="s">
        <v>48</v>
      </c>
      <c r="J18" s="24" t="s">
        <v>17</v>
      </c>
      <c r="K18" s="29" t="s">
        <v>49</v>
      </c>
    </row>
    <row r="19" ht="21.0" customHeight="1">
      <c r="B19" s="17">
        <v>11.0</v>
      </c>
      <c r="C19" s="18" t="s">
        <v>50</v>
      </c>
      <c r="D19" s="7"/>
      <c r="E19" s="24" t="s">
        <v>17</v>
      </c>
      <c r="F19" s="29" t="s">
        <v>51</v>
      </c>
      <c r="G19" s="24" t="s">
        <v>17</v>
      </c>
      <c r="I19" s="29" t="s">
        <v>52</v>
      </c>
      <c r="J19" s="24" t="s">
        <v>17</v>
      </c>
      <c r="K19" s="29" t="s">
        <v>52</v>
      </c>
    </row>
    <row r="20" ht="14.25" customHeight="1">
      <c r="C20" s="1"/>
    </row>
    <row r="21" ht="14.25" customHeight="1">
      <c r="C21" s="1"/>
    </row>
    <row r="22" ht="14.25" customHeight="1">
      <c r="C22" s="1"/>
    </row>
    <row r="23" ht="14.25" customHeight="1">
      <c r="C23" s="1"/>
    </row>
    <row r="24" ht="14.25" customHeight="1">
      <c r="C24" s="1"/>
    </row>
    <row r="25" ht="14.25" customHeight="1">
      <c r="C25" s="1"/>
    </row>
    <row r="26" ht="14.25" customHeight="1">
      <c r="C26" s="1"/>
    </row>
    <row r="27" ht="14.25" customHeight="1">
      <c r="C27" s="1"/>
    </row>
    <row r="28" ht="14.25" customHeight="1">
      <c r="C28" s="1"/>
    </row>
    <row r="29" ht="14.25" customHeight="1">
      <c r="C29" s="1"/>
    </row>
    <row r="30" ht="14.25" customHeight="1">
      <c r="C30" s="1"/>
    </row>
    <row r="31" ht="14.25" customHeight="1">
      <c r="C31" s="1"/>
    </row>
    <row r="32" ht="14.25" customHeight="1">
      <c r="C32" s="1"/>
    </row>
    <row r="33" ht="14.25" customHeight="1">
      <c r="C33" s="1"/>
    </row>
    <row r="34" ht="14.25" customHeight="1">
      <c r="C34" s="1"/>
    </row>
    <row r="35" ht="14.25" customHeight="1">
      <c r="C35" s="1"/>
    </row>
    <row r="36" ht="14.25" customHeight="1">
      <c r="C36" s="1"/>
    </row>
    <row r="37" ht="14.25" customHeight="1">
      <c r="C37" s="1"/>
    </row>
    <row r="38" ht="14.25" customHeight="1">
      <c r="C38" s="1"/>
    </row>
    <row r="39" ht="14.25" customHeight="1">
      <c r="C39" s="1"/>
    </row>
    <row r="40" ht="14.25" customHeight="1">
      <c r="C40" s="1"/>
    </row>
    <row r="41" ht="14.25" customHeight="1">
      <c r="C41" s="1"/>
    </row>
    <row r="42" ht="14.25" customHeight="1">
      <c r="C42" s="1"/>
    </row>
    <row r="43" ht="14.25" customHeight="1">
      <c r="C43" s="1"/>
    </row>
    <row r="44" ht="14.25" customHeight="1">
      <c r="C44" s="1"/>
    </row>
    <row r="45" ht="14.25" customHeight="1">
      <c r="C45" s="1"/>
    </row>
    <row r="46" ht="14.25" customHeight="1">
      <c r="C46" s="1"/>
    </row>
    <row r="47" ht="14.25" customHeight="1">
      <c r="C47" s="1"/>
    </row>
    <row r="48" ht="14.25" customHeight="1">
      <c r="C48" s="1"/>
    </row>
    <row r="49" ht="14.25" customHeight="1">
      <c r="C49" s="1"/>
    </row>
    <row r="50" ht="14.25" customHeight="1">
      <c r="C50" s="1"/>
    </row>
    <row r="51" ht="14.25" customHeight="1">
      <c r="C51" s="1"/>
    </row>
    <row r="52" ht="14.25" customHeight="1">
      <c r="C52" s="1"/>
    </row>
    <row r="53" ht="14.25" customHeight="1">
      <c r="C53" s="1"/>
    </row>
    <row r="54" ht="14.25" customHeight="1">
      <c r="C54" s="1"/>
    </row>
    <row r="55" ht="14.25" customHeight="1">
      <c r="C55" s="1"/>
    </row>
    <row r="56" ht="14.25" customHeight="1">
      <c r="C56" s="1"/>
    </row>
    <row r="57" ht="14.25" customHeight="1">
      <c r="C57" s="1"/>
    </row>
    <row r="58" ht="14.25" customHeight="1">
      <c r="C58" s="1"/>
    </row>
    <row r="59" ht="14.25" customHeight="1">
      <c r="C59" s="1"/>
    </row>
    <row r="60" ht="14.25" customHeight="1">
      <c r="C60" s="1"/>
    </row>
    <row r="61" ht="14.25" customHeight="1">
      <c r="C61" s="1"/>
    </row>
    <row r="62" ht="14.25" customHeight="1">
      <c r="C62" s="1"/>
    </row>
    <row r="63" ht="14.25" customHeight="1">
      <c r="C63" s="1"/>
    </row>
    <row r="64" ht="14.25" customHeight="1">
      <c r="C64" s="1"/>
    </row>
    <row r="65" ht="14.25" customHeight="1">
      <c r="C65" s="1"/>
    </row>
    <row r="66" ht="14.25" customHeight="1">
      <c r="C66" s="1"/>
    </row>
    <row r="67" ht="14.25" customHeight="1">
      <c r="C67" s="1"/>
    </row>
    <row r="68" ht="14.25" customHeight="1">
      <c r="C68" s="1"/>
    </row>
    <row r="69" ht="14.25" customHeight="1">
      <c r="C69" s="1"/>
    </row>
    <row r="70" ht="14.25" customHeight="1">
      <c r="C70" s="1"/>
    </row>
    <row r="71" ht="14.25" customHeight="1">
      <c r="C71" s="1"/>
    </row>
    <row r="72" ht="14.25" customHeight="1">
      <c r="C72" s="1"/>
    </row>
    <row r="73" ht="14.25" customHeight="1">
      <c r="C73" s="1"/>
    </row>
    <row r="74" ht="14.25" customHeight="1">
      <c r="C74" s="1"/>
    </row>
    <row r="75" ht="14.25" customHeight="1">
      <c r="C75" s="1"/>
    </row>
    <row r="76" ht="14.25" customHeight="1">
      <c r="C76" s="1"/>
    </row>
    <row r="77" ht="14.25" customHeight="1">
      <c r="C77" s="1"/>
    </row>
    <row r="78" ht="14.25" customHeight="1">
      <c r="C78" s="1"/>
    </row>
    <row r="79" ht="14.25" customHeight="1">
      <c r="C79" s="1"/>
    </row>
    <row r="80" ht="14.25" customHeight="1">
      <c r="C80" s="1"/>
    </row>
    <row r="81" ht="14.25" customHeight="1">
      <c r="C81" s="1"/>
    </row>
    <row r="82" ht="14.25" customHeight="1">
      <c r="C82" s="1"/>
    </row>
    <row r="83" ht="14.25" customHeight="1">
      <c r="C83" s="1"/>
    </row>
    <row r="84" ht="14.25" customHeight="1">
      <c r="C84" s="1"/>
    </row>
    <row r="85" ht="14.25" customHeight="1">
      <c r="C85" s="1"/>
    </row>
    <row r="86" ht="14.25" customHeight="1">
      <c r="C86" s="1"/>
    </row>
    <row r="87" ht="14.25" customHeight="1">
      <c r="C87" s="1"/>
    </row>
    <row r="88" ht="14.25" customHeight="1">
      <c r="C88" s="1"/>
    </row>
    <row r="89" ht="14.25" customHeight="1">
      <c r="C89" s="1"/>
    </row>
    <row r="90" ht="14.25" customHeight="1">
      <c r="C90" s="1"/>
    </row>
    <row r="91" ht="14.25" customHeight="1">
      <c r="C91" s="1"/>
    </row>
    <row r="92" ht="14.25" customHeight="1">
      <c r="C92" s="1"/>
    </row>
    <row r="93" ht="14.25" customHeight="1">
      <c r="C93" s="1"/>
    </row>
    <row r="94" ht="14.25" customHeight="1">
      <c r="C94" s="1"/>
    </row>
    <row r="95" ht="14.25" customHeight="1">
      <c r="C95" s="1"/>
    </row>
    <row r="96" ht="14.25" customHeight="1">
      <c r="C96" s="1"/>
    </row>
    <row r="97" ht="14.25" customHeight="1">
      <c r="C97" s="1"/>
    </row>
    <row r="98" ht="14.25" customHeight="1">
      <c r="C98" s="1"/>
    </row>
    <row r="99" ht="14.25" customHeight="1">
      <c r="C99" s="1"/>
    </row>
    <row r="100" ht="14.25" customHeight="1">
      <c r="C100" s="1"/>
    </row>
    <row r="101" ht="14.25" customHeight="1">
      <c r="C101" s="1"/>
    </row>
    <row r="102" ht="14.25" customHeight="1">
      <c r="C102" s="1"/>
    </row>
    <row r="103" ht="14.25" customHeight="1">
      <c r="C103" s="1"/>
    </row>
    <row r="104" ht="14.25" customHeight="1">
      <c r="C104" s="1"/>
    </row>
    <row r="105" ht="14.25" customHeight="1">
      <c r="C105" s="1"/>
    </row>
    <row r="106" ht="14.25" customHeight="1">
      <c r="C106" s="1"/>
    </row>
    <row r="107" ht="14.25" customHeight="1">
      <c r="C107" s="1"/>
    </row>
    <row r="108" ht="14.25" customHeight="1">
      <c r="C108" s="1"/>
    </row>
    <row r="109" ht="14.25" customHeight="1">
      <c r="C109" s="1"/>
    </row>
    <row r="110" ht="14.25" customHeight="1">
      <c r="C110" s="1"/>
    </row>
    <row r="111" ht="14.25" customHeight="1">
      <c r="C111" s="1"/>
    </row>
    <row r="112" ht="14.25" customHeight="1">
      <c r="C112" s="1"/>
    </row>
    <row r="113" ht="14.25" customHeight="1">
      <c r="C113" s="1"/>
    </row>
    <row r="114" ht="14.25" customHeight="1">
      <c r="C114" s="1"/>
    </row>
    <row r="115" ht="14.25" customHeight="1">
      <c r="C115" s="1"/>
    </row>
    <row r="116" ht="14.25" customHeight="1">
      <c r="C116" s="1"/>
    </row>
    <row r="117" ht="14.25" customHeight="1">
      <c r="C117" s="1"/>
    </row>
    <row r="118" ht="14.25" customHeight="1">
      <c r="C118" s="1"/>
    </row>
    <row r="119" ht="14.25" customHeight="1">
      <c r="C119" s="1"/>
    </row>
    <row r="120" ht="14.25" customHeight="1">
      <c r="C120" s="1"/>
    </row>
    <row r="121" ht="14.25" customHeight="1">
      <c r="C121" s="1"/>
    </row>
    <row r="122" ht="14.25" customHeight="1">
      <c r="C122" s="1"/>
    </row>
    <row r="123" ht="14.25" customHeight="1">
      <c r="C123" s="1"/>
    </row>
    <row r="124" ht="14.25" customHeight="1">
      <c r="C124" s="1"/>
    </row>
    <row r="125" ht="14.25" customHeight="1">
      <c r="C125" s="1"/>
    </row>
    <row r="126" ht="14.25" customHeight="1">
      <c r="C126" s="1"/>
    </row>
    <row r="127" ht="14.25" customHeight="1">
      <c r="C127" s="1"/>
    </row>
    <row r="128" ht="14.25" customHeight="1">
      <c r="C128" s="1"/>
    </row>
    <row r="129" ht="14.25" customHeight="1">
      <c r="C129" s="1"/>
    </row>
    <row r="130" ht="14.25" customHeight="1">
      <c r="C130" s="1"/>
    </row>
    <row r="131" ht="14.25" customHeight="1">
      <c r="C131" s="1"/>
    </row>
    <row r="132" ht="14.25" customHeight="1">
      <c r="C132" s="1"/>
    </row>
    <row r="133" ht="14.25" customHeight="1">
      <c r="C133" s="1"/>
    </row>
    <row r="134" ht="14.25" customHeight="1">
      <c r="C134" s="1"/>
    </row>
    <row r="135" ht="14.25" customHeight="1">
      <c r="C135" s="1"/>
    </row>
    <row r="136" ht="14.25" customHeight="1">
      <c r="C136" s="1"/>
    </row>
    <row r="137" ht="14.25" customHeight="1">
      <c r="C137" s="1"/>
    </row>
    <row r="138" ht="14.25" customHeight="1">
      <c r="C138" s="1"/>
    </row>
    <row r="139" ht="14.25" customHeight="1">
      <c r="C139" s="1"/>
    </row>
    <row r="140" ht="14.25" customHeight="1">
      <c r="C140" s="1"/>
    </row>
    <row r="141" ht="14.25" customHeight="1">
      <c r="C141" s="1"/>
    </row>
    <row r="142" ht="14.25" customHeight="1">
      <c r="C142" s="1"/>
    </row>
    <row r="143" ht="14.25" customHeight="1">
      <c r="C143" s="1"/>
    </row>
    <row r="144" ht="14.25" customHeight="1">
      <c r="C144" s="1"/>
    </row>
    <row r="145" ht="14.25" customHeight="1">
      <c r="C145" s="1"/>
    </row>
    <row r="146" ht="14.25" customHeight="1">
      <c r="C146" s="1"/>
    </row>
    <row r="147" ht="14.25" customHeight="1">
      <c r="C147" s="1"/>
    </row>
    <row r="148" ht="14.25" customHeight="1">
      <c r="C148" s="1"/>
    </row>
    <row r="149" ht="14.25" customHeight="1">
      <c r="C149" s="1"/>
    </row>
    <row r="150" ht="14.25" customHeight="1">
      <c r="C150" s="1"/>
    </row>
    <row r="151" ht="14.25" customHeight="1">
      <c r="C151" s="1"/>
    </row>
    <row r="152" ht="14.25" customHeight="1">
      <c r="C152" s="1"/>
    </row>
    <row r="153" ht="14.25" customHeight="1">
      <c r="C153" s="1"/>
    </row>
    <row r="154" ht="14.25" customHeight="1">
      <c r="C154" s="1"/>
    </row>
    <row r="155" ht="14.25" customHeight="1">
      <c r="C155" s="1"/>
    </row>
    <row r="156" ht="14.25" customHeight="1">
      <c r="C156" s="1"/>
    </row>
    <row r="157" ht="14.25" customHeight="1">
      <c r="C157" s="1"/>
    </row>
    <row r="158" ht="14.25" customHeight="1">
      <c r="C158" s="1"/>
    </row>
    <row r="159" ht="14.25" customHeight="1">
      <c r="C159" s="1"/>
    </row>
    <row r="160" ht="14.25" customHeight="1">
      <c r="C160" s="1"/>
    </row>
    <row r="161" ht="14.25" customHeight="1">
      <c r="C161" s="1"/>
    </row>
    <row r="162" ht="14.25" customHeight="1">
      <c r="C162" s="1"/>
    </row>
    <row r="163" ht="14.25" customHeight="1">
      <c r="C163" s="1"/>
    </row>
    <row r="164" ht="14.25" customHeight="1">
      <c r="C164" s="1"/>
    </row>
    <row r="165" ht="14.25" customHeight="1">
      <c r="C165" s="1"/>
    </row>
    <row r="166" ht="14.25" customHeight="1">
      <c r="C166" s="1"/>
    </row>
    <row r="167" ht="14.25" customHeight="1">
      <c r="C167" s="1"/>
    </row>
    <row r="168" ht="14.25" customHeight="1">
      <c r="C168" s="1"/>
    </row>
    <row r="169" ht="14.25" customHeight="1">
      <c r="C169" s="1"/>
    </row>
    <row r="170" ht="14.25" customHeight="1">
      <c r="C170" s="1"/>
    </row>
    <row r="171" ht="14.25" customHeight="1">
      <c r="C171" s="1"/>
    </row>
    <row r="172" ht="14.25" customHeight="1">
      <c r="C172" s="1"/>
    </row>
    <row r="173" ht="14.25" customHeight="1">
      <c r="C173" s="1"/>
    </row>
    <row r="174" ht="14.25" customHeight="1">
      <c r="C174" s="1"/>
    </row>
    <row r="175" ht="14.25" customHeight="1">
      <c r="C175" s="1"/>
    </row>
    <row r="176" ht="14.25" customHeight="1">
      <c r="C176" s="1"/>
    </row>
    <row r="177" ht="14.25" customHeight="1">
      <c r="C177" s="1"/>
    </row>
    <row r="178" ht="14.25" customHeight="1">
      <c r="C178" s="1"/>
    </row>
    <row r="179" ht="14.25" customHeight="1">
      <c r="C179" s="1"/>
    </row>
    <row r="180" ht="14.25" customHeight="1">
      <c r="C180" s="1"/>
    </row>
    <row r="181" ht="14.25" customHeight="1">
      <c r="C181" s="1"/>
    </row>
    <row r="182" ht="14.25" customHeight="1">
      <c r="C182" s="1"/>
    </row>
    <row r="183" ht="14.25" customHeight="1">
      <c r="C183" s="1"/>
    </row>
    <row r="184" ht="14.25" customHeight="1">
      <c r="C184" s="1"/>
    </row>
    <row r="185" ht="14.25" customHeight="1">
      <c r="C185" s="1"/>
    </row>
    <row r="186" ht="14.25" customHeight="1">
      <c r="C186" s="1"/>
    </row>
    <row r="187" ht="14.25" customHeight="1">
      <c r="C187" s="1"/>
    </row>
    <row r="188" ht="14.25" customHeight="1">
      <c r="C188" s="1"/>
    </row>
    <row r="189" ht="14.25" customHeight="1">
      <c r="C189" s="1"/>
    </row>
    <row r="190" ht="14.25" customHeight="1">
      <c r="C190" s="1"/>
    </row>
    <row r="191" ht="14.25" customHeight="1">
      <c r="C191" s="1"/>
    </row>
    <row r="192" ht="14.25" customHeight="1">
      <c r="C192" s="1"/>
    </row>
    <row r="193" ht="14.25" customHeight="1">
      <c r="C193" s="1"/>
    </row>
    <row r="194" ht="14.25" customHeight="1">
      <c r="C194" s="1"/>
    </row>
    <row r="195" ht="14.25" customHeight="1">
      <c r="C195" s="1"/>
    </row>
    <row r="196" ht="14.25" customHeight="1">
      <c r="C196" s="1"/>
    </row>
    <row r="197" ht="14.25" customHeight="1">
      <c r="C197" s="1"/>
    </row>
    <row r="198" ht="14.25" customHeight="1">
      <c r="C198" s="1"/>
    </row>
    <row r="199" ht="14.25" customHeight="1">
      <c r="C199" s="1"/>
    </row>
    <row r="200" ht="14.25" customHeight="1">
      <c r="C200" s="1"/>
    </row>
    <row r="201" ht="14.25" customHeight="1">
      <c r="C201" s="1"/>
    </row>
    <row r="202" ht="14.25" customHeight="1">
      <c r="C202" s="1"/>
    </row>
    <row r="203" ht="14.25" customHeight="1">
      <c r="C203" s="1"/>
    </row>
    <row r="204" ht="14.25" customHeight="1">
      <c r="C204" s="1"/>
    </row>
    <row r="205" ht="14.25" customHeight="1">
      <c r="C205" s="1"/>
    </row>
    <row r="206" ht="14.25" customHeight="1">
      <c r="C206" s="1"/>
    </row>
    <row r="207" ht="14.25" customHeight="1">
      <c r="C207" s="1"/>
    </row>
    <row r="208" ht="14.25" customHeight="1">
      <c r="C208" s="1"/>
    </row>
    <row r="209" ht="14.25" customHeight="1">
      <c r="C209" s="1"/>
    </row>
    <row r="210" ht="14.25" customHeight="1">
      <c r="C210" s="1"/>
    </row>
    <row r="211" ht="14.25" customHeight="1">
      <c r="C211" s="1"/>
    </row>
    <row r="212" ht="14.25" customHeight="1">
      <c r="C212" s="1"/>
    </row>
    <row r="213" ht="14.25" customHeight="1">
      <c r="C213" s="1"/>
    </row>
    <row r="214" ht="14.25" customHeight="1">
      <c r="C214" s="1"/>
    </row>
    <row r="215" ht="14.25" customHeight="1">
      <c r="C215" s="1"/>
    </row>
    <row r="216" ht="14.25" customHeight="1">
      <c r="C216" s="1"/>
    </row>
    <row r="217" ht="14.25" customHeight="1">
      <c r="C217" s="1"/>
    </row>
    <row r="218" ht="14.25" customHeight="1">
      <c r="C218" s="1"/>
    </row>
    <row r="219" ht="14.25" customHeight="1">
      <c r="C219" s="1"/>
    </row>
    <row r="220" ht="14.25" customHeight="1">
      <c r="C220" s="1"/>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2">
    <mergeCell ref="G7:G8"/>
    <mergeCell ref="I7:I8"/>
    <mergeCell ref="J7:J8"/>
    <mergeCell ref="K7:K8"/>
    <mergeCell ref="C3:K4"/>
    <mergeCell ref="E5:K5"/>
    <mergeCell ref="F6:K6"/>
    <mergeCell ref="B7:B8"/>
    <mergeCell ref="C7:D8"/>
    <mergeCell ref="E7:E8"/>
    <mergeCell ref="F7:F8"/>
    <mergeCell ref="C16:D16"/>
    <mergeCell ref="C17:D17"/>
    <mergeCell ref="C18:D18"/>
    <mergeCell ref="C19:D19"/>
    <mergeCell ref="C9:D9"/>
    <mergeCell ref="C10:D10"/>
    <mergeCell ref="C11:D11"/>
    <mergeCell ref="C12:D12"/>
    <mergeCell ref="C13:D13"/>
    <mergeCell ref="C14:D14"/>
    <mergeCell ref="C15:D15"/>
  </mergeCells>
  <printOptions horizontalCentered="1" verticalCentered="1"/>
  <pageMargins bottom="0.7480314960629921" footer="0.0" header="0.0" left="0.47" right="0.7086614173228347" top="0.7480314960629921"/>
  <pageSetup paperSize="9" scale="56" orientation="landscape"/>
  <headerFooter>
    <oddFooter>&amp;LElaborado por: Ing Jenny A Ruiz R, Mónica  Gómez Docentes TC del Departamento de Ciencias de la  Computación IREB PROYECTO DE CHECK LIST  (CASO DE ESTUDIO ACADÉMICO)&amp;C&amp;P de &amp;R&amp;D</oddFooter>
  </headerFooter>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34.57"/>
    <col customWidth="1" min="3" max="3" width="16.14"/>
    <col customWidth="1" min="4" max="24" width="10.71"/>
  </cols>
  <sheetData>
    <row r="1" ht="51.0" customHeight="1">
      <c r="A1" s="25"/>
      <c r="B1" s="26" t="s">
        <v>1</v>
      </c>
      <c r="C1" s="27" t="s">
        <v>2</v>
      </c>
      <c r="E1" s="25"/>
      <c r="F1" s="25"/>
      <c r="G1" s="25"/>
      <c r="H1" s="25"/>
      <c r="I1" s="25"/>
      <c r="J1" s="25"/>
      <c r="K1" s="25"/>
      <c r="L1" s="25"/>
      <c r="M1" s="25"/>
      <c r="N1" s="25"/>
      <c r="O1" s="25"/>
      <c r="P1" s="25"/>
      <c r="Q1" s="25"/>
      <c r="R1" s="25"/>
      <c r="S1" s="25"/>
      <c r="T1" s="25"/>
      <c r="U1" s="25"/>
      <c r="V1" s="25"/>
      <c r="W1" s="25"/>
      <c r="X1" s="25"/>
      <c r="Y1" s="25"/>
      <c r="Z1" s="25"/>
    </row>
    <row r="2" ht="14.25" customHeight="1">
      <c r="B2" s="30" t="s">
        <v>22</v>
      </c>
      <c r="C2" s="31">
        <v>46296.0</v>
      </c>
    </row>
    <row r="3" ht="17.25" customHeight="1">
      <c r="B3" s="30" t="s">
        <v>26</v>
      </c>
      <c r="C3" s="32" t="s">
        <v>27</v>
      </c>
    </row>
    <row r="4" ht="16.5" customHeight="1">
      <c r="B4" s="30" t="s">
        <v>28</v>
      </c>
      <c r="C4" s="32" t="s">
        <v>36</v>
      </c>
    </row>
    <row r="5" ht="14.25" customHeight="1"/>
    <row r="6" ht="31.5" customHeight="1">
      <c r="A6" s="33" t="s">
        <v>30</v>
      </c>
    </row>
    <row r="7" ht="15.0" customHeight="1">
      <c r="A7" s="35" t="s">
        <v>32</v>
      </c>
      <c r="B7" s="36" t="s">
        <v>40</v>
      </c>
      <c r="C7" s="36" t="s">
        <v>43</v>
      </c>
      <c r="D7" s="38" t="s">
        <v>46</v>
      </c>
    </row>
    <row r="8" ht="14.25" customHeight="1">
      <c r="A8" s="39">
        <v>1.0</v>
      </c>
      <c r="B8" s="40" t="s">
        <v>53</v>
      </c>
      <c r="C8" s="43" t="s">
        <v>56</v>
      </c>
      <c r="D8" s="42"/>
    </row>
    <row r="9" ht="14.25" customHeight="1">
      <c r="A9" s="39">
        <v>2.0</v>
      </c>
      <c r="B9" s="40" t="s">
        <v>55</v>
      </c>
      <c r="C9" s="43"/>
      <c r="D9" s="44" t="s">
        <v>56</v>
      </c>
    </row>
    <row r="10" ht="14.25" customHeight="1">
      <c r="A10" s="39">
        <v>3.0</v>
      </c>
      <c r="B10" s="40" t="s">
        <v>57</v>
      </c>
      <c r="C10" s="43"/>
      <c r="D10" s="45" t="s">
        <v>56</v>
      </c>
    </row>
    <row r="11" ht="14.25" customHeight="1">
      <c r="A11" s="39">
        <v>4.0</v>
      </c>
      <c r="B11" s="40" t="s">
        <v>58</v>
      </c>
      <c r="C11" s="43" t="s">
        <v>56</v>
      </c>
      <c r="D11" s="42"/>
    </row>
    <row r="12" ht="14.25" customHeight="1">
      <c r="A12" s="39">
        <v>5.0</v>
      </c>
      <c r="B12" s="40" t="s">
        <v>59</v>
      </c>
      <c r="C12" s="43" t="s">
        <v>56</v>
      </c>
      <c r="D12" s="42"/>
    </row>
    <row r="13" ht="14.25" customHeight="1">
      <c r="A13" s="39">
        <v>6.0</v>
      </c>
      <c r="B13" s="40" t="s">
        <v>60</v>
      </c>
      <c r="C13" s="43" t="s">
        <v>56</v>
      </c>
      <c r="D13" s="42"/>
    </row>
    <row r="14" ht="14.25" customHeight="1">
      <c r="A14" s="39">
        <v>7.0</v>
      </c>
      <c r="B14" s="40" t="s">
        <v>61</v>
      </c>
      <c r="C14" s="43" t="s">
        <v>56</v>
      </c>
      <c r="D14" s="42"/>
    </row>
    <row r="15" ht="14.25" customHeight="1">
      <c r="A15" s="39">
        <v>8.0</v>
      </c>
      <c r="B15" s="40" t="s">
        <v>62</v>
      </c>
      <c r="C15" s="43" t="s">
        <v>56</v>
      </c>
      <c r="D15" s="42"/>
    </row>
    <row r="16" ht="14.25" customHeight="1">
      <c r="A16" s="46">
        <v>9.0</v>
      </c>
      <c r="B16" s="47" t="s">
        <v>63</v>
      </c>
      <c r="C16" s="48"/>
      <c r="D16" s="51" t="s">
        <v>56</v>
      </c>
    </row>
    <row r="17" ht="14.25" customHeight="1">
      <c r="A17" s="49" t="s">
        <v>64</v>
      </c>
      <c r="C17" s="50">
        <f>COUNTA('MODELO LISTA DE COMPROBACION - '!$C$8:$C$16)</f>
        <v>6</v>
      </c>
      <c r="D17" s="50">
        <f>COUNTA('MODELO LISTA DE COMPROBACION - '!$D$8:$D$16)</f>
        <v>3</v>
      </c>
    </row>
    <row r="18" ht="14.25" customHeight="1">
      <c r="A18" s="49" t="s">
        <v>65</v>
      </c>
      <c r="C18" s="52">
        <f t="shared" ref="C18:D18" si="1">C17/9</f>
        <v>0.6666666667</v>
      </c>
      <c r="D18" s="52">
        <f t="shared" si="1"/>
        <v>0.3333333333</v>
      </c>
    </row>
    <row r="19" ht="14.25" customHeight="1">
      <c r="A19" s="49"/>
      <c r="B19" s="49"/>
      <c r="C19" s="52"/>
      <c r="D19" s="50"/>
    </row>
    <row r="20" ht="24.0" customHeight="1">
      <c r="A20" s="53" t="s">
        <v>66</v>
      </c>
      <c r="B20" s="54"/>
      <c r="C20" s="54"/>
      <c r="D20" s="54"/>
    </row>
    <row r="21" ht="21.0" customHeight="1">
      <c r="A21" s="55" t="s">
        <v>32</v>
      </c>
      <c r="B21" s="56" t="s">
        <v>40</v>
      </c>
      <c r="C21" s="57" t="s">
        <v>43</v>
      </c>
      <c r="D21" s="58" t="s">
        <v>46</v>
      </c>
    </row>
    <row r="22" ht="14.25" customHeight="1">
      <c r="A22" s="39">
        <v>1.0</v>
      </c>
      <c r="B22" s="40" t="s">
        <v>67</v>
      </c>
      <c r="C22" s="51" t="s">
        <v>56</v>
      </c>
      <c r="D22" s="42"/>
    </row>
    <row r="23" ht="14.25" customHeight="1">
      <c r="A23" s="39">
        <v>2.0</v>
      </c>
      <c r="B23" s="40" t="s">
        <v>68</v>
      </c>
      <c r="C23" s="51" t="s">
        <v>56</v>
      </c>
      <c r="D23" s="42"/>
    </row>
    <row r="24" ht="14.25" customHeight="1">
      <c r="A24" s="39">
        <v>3.0</v>
      </c>
      <c r="B24" s="40" t="s">
        <v>69</v>
      </c>
      <c r="C24" s="51" t="s">
        <v>56</v>
      </c>
      <c r="D24" s="42"/>
    </row>
    <row r="25" ht="14.25" customHeight="1">
      <c r="A25" s="39">
        <v>4.0</v>
      </c>
      <c r="B25" s="40" t="s">
        <v>70</v>
      </c>
      <c r="C25" s="51" t="s">
        <v>56</v>
      </c>
      <c r="D25" s="42"/>
    </row>
    <row r="26" ht="14.25" customHeight="1">
      <c r="A26" s="46">
        <v>5.0</v>
      </c>
      <c r="B26" s="47" t="s">
        <v>71</v>
      </c>
      <c r="C26" s="51" t="s">
        <v>56</v>
      </c>
      <c r="D26" s="59"/>
    </row>
    <row r="27" ht="14.25" customHeight="1">
      <c r="A27" s="49" t="s">
        <v>64</v>
      </c>
      <c r="C27" s="50">
        <f>COUNTA('MODELO LISTA DE COMPROBACION - '!$C$22:$C$26)</f>
        <v>5</v>
      </c>
      <c r="D27" s="50">
        <f>COUNTA('MODELO LISTA DE COMPROBACION - '!$D$22:$D$26)</f>
        <v>0</v>
      </c>
    </row>
    <row r="28" ht="14.25" customHeight="1">
      <c r="A28" s="49" t="s">
        <v>65</v>
      </c>
      <c r="C28" s="52">
        <f t="shared" ref="C28:D28" si="2">C27/5</f>
        <v>1</v>
      </c>
      <c r="D28" s="52">
        <f t="shared" si="2"/>
        <v>0</v>
      </c>
    </row>
    <row r="29" ht="14.25" customHeight="1">
      <c r="A29" s="49"/>
      <c r="B29" s="49"/>
      <c r="C29" s="52"/>
      <c r="D29" s="50"/>
    </row>
    <row r="30" ht="27.75" customHeight="1">
      <c r="A30" s="33" t="s">
        <v>72</v>
      </c>
    </row>
    <row r="31" ht="18.75" customHeight="1">
      <c r="A31" s="55" t="s">
        <v>32</v>
      </c>
      <c r="B31" s="56" t="s">
        <v>40</v>
      </c>
      <c r="C31" s="57" t="s">
        <v>43</v>
      </c>
      <c r="D31" s="58" t="s">
        <v>46</v>
      </c>
    </row>
    <row r="32" ht="14.25" customHeight="1">
      <c r="A32" s="39">
        <v>1.0</v>
      </c>
      <c r="B32" s="63" t="s">
        <v>78</v>
      </c>
      <c r="C32" s="51"/>
      <c r="D32" s="51" t="s">
        <v>56</v>
      </c>
    </row>
    <row r="33" ht="14.25" customHeight="1">
      <c r="A33" s="39">
        <v>2.0</v>
      </c>
      <c r="B33" s="63" t="s">
        <v>80</v>
      </c>
      <c r="C33" s="51" t="s">
        <v>56</v>
      </c>
      <c r="D33" s="48"/>
    </row>
    <row r="34" ht="14.25" customHeight="1">
      <c r="A34" s="46">
        <v>3.0</v>
      </c>
      <c r="B34" s="47" t="s">
        <v>75</v>
      </c>
      <c r="C34" s="51" t="s">
        <v>56</v>
      </c>
      <c r="D34" s="48"/>
    </row>
    <row r="35" ht="14.25" customHeight="1">
      <c r="A35" s="49" t="s">
        <v>64</v>
      </c>
      <c r="C35" s="21">
        <f>COUNTA('MODELO LISTA DE COMPROBACION - '!$C$32:$C$34)</f>
        <v>2</v>
      </c>
      <c r="D35" s="21">
        <f>COUNTA('MODELO LISTA DE COMPROBACION - '!$D$32:$D$34)</f>
        <v>1</v>
      </c>
    </row>
    <row r="36" ht="14.25" customHeight="1">
      <c r="A36" s="49" t="s">
        <v>65</v>
      </c>
      <c r="C36" s="52">
        <f t="shared" ref="C36:D36" si="3">C35/3</f>
        <v>0.6666666667</v>
      </c>
      <c r="D36" s="52">
        <f t="shared" si="3"/>
        <v>0.3333333333</v>
      </c>
    </row>
    <row r="37" ht="14.25" customHeight="1"/>
    <row r="38" ht="14.25" customHeight="1"/>
    <row r="39" ht="14.25" customHeight="1"/>
    <row r="40" ht="14.25" customHeight="1">
      <c r="A40" s="61" t="s">
        <v>76</v>
      </c>
    </row>
    <row r="41" ht="30.0" customHeight="1">
      <c r="B41" s="25" t="s">
        <v>77</v>
      </c>
      <c r="C41" s="62">
        <v>67.0</v>
      </c>
    </row>
    <row r="42" ht="30.0" customHeight="1">
      <c r="B42" s="25" t="s">
        <v>66</v>
      </c>
      <c r="C42" s="50">
        <v>100.0</v>
      </c>
    </row>
    <row r="43" ht="30.0" customHeight="1">
      <c r="B43" s="25" t="s">
        <v>72</v>
      </c>
      <c r="C43" s="62">
        <v>67.0</v>
      </c>
    </row>
    <row r="44" ht="14.25" customHeight="1">
      <c r="C44" s="50"/>
    </row>
    <row r="45" ht="14.25" customHeight="1">
      <c r="C45" s="50"/>
    </row>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4">
    <mergeCell ref="A18:B18"/>
    <mergeCell ref="A27:B27"/>
    <mergeCell ref="A28:B28"/>
    <mergeCell ref="A30:D30"/>
    <mergeCell ref="A35:B35"/>
    <mergeCell ref="A36:B36"/>
    <mergeCell ref="A40:C40"/>
    <mergeCell ref="C1:D1"/>
    <mergeCell ref="C2:D2"/>
    <mergeCell ref="C3:D3"/>
    <mergeCell ref="C4:D4"/>
    <mergeCell ref="A6:D6"/>
    <mergeCell ref="A17:B17"/>
    <mergeCell ref="A20:D20"/>
  </mergeCells>
  <conditionalFormatting sqref="A32:D34">
    <cfRule type="containsText" dxfId="11" priority="1" operator="containsText" text="X">
      <formula>NOT(ISERROR(SEARCH(("X"),(A32))))</formula>
    </cfRule>
  </conditionalFormatting>
  <conditionalFormatting sqref="C8:D16 C22:C26 C32:D34">
    <cfRule type="containsText" dxfId="12" priority="2" operator="containsText" text="X">
      <formula>NOT(ISERROR(SEARCH(("X"),(C8))))</formula>
    </cfRule>
  </conditionalFormatting>
  <conditionalFormatting sqref="C8:D16 C22:C26 C32:D34">
    <cfRule type="containsText" dxfId="13" priority="3" operator="containsText" text="X">
      <formula>NOT(ISERROR(SEARCH(("X"),(C8))))</formula>
    </cfRule>
  </conditionalFormatting>
  <conditionalFormatting sqref="C8:D16 C22:C26 C32:D34">
    <cfRule type="containsText" dxfId="14" priority="4" operator="containsText" text="X">
      <formula>NOT(ISERROR(SEARCH(("X"),(C8))))</formula>
    </cfRule>
  </conditionalFormatting>
  <conditionalFormatting sqref="C8:D16 C22:C26 C32:D34">
    <cfRule type="containsText" dxfId="15" priority="5" operator="containsText" text="X">
      <formula>NOT(ISERROR(SEARCH(("X"),(C8))))</formula>
    </cfRule>
  </conditionalFormatting>
  <conditionalFormatting sqref="C22:D26">
    <cfRule type="containsText" dxfId="12" priority="6" operator="containsText" text="X">
      <formula>NOT(ISERROR(SEARCH(("X"),(C22))))</formula>
    </cfRule>
  </conditionalFormatting>
  <conditionalFormatting sqref="C22:D26">
    <cfRule type="containsText" dxfId="13" priority="7" operator="containsText" text="X">
      <formula>NOT(ISERROR(SEARCH(("X"),(C22))))</formula>
    </cfRule>
  </conditionalFormatting>
  <conditionalFormatting sqref="C32:D34">
    <cfRule type="containsText" dxfId="12" priority="8" operator="containsText" text="X">
      <formula>NOT(ISERROR(SEARCH(("X"),(C32))))</formula>
    </cfRule>
  </conditionalFormatting>
  <printOptions/>
  <pageMargins bottom="0.75" footer="0.0" header="0.0" left="0.7" right="0.7" top="0.75"/>
  <pageSetup paperSize="9" orientation="portrait"/>
  <drawing r:id="rId2"/>
  <legacyDrawing r:id="rId3"/>
  <tableParts count="3">
    <tablePart r:id="rId7"/>
    <tablePart r:id="rId8"/>
    <tablePart r:id="rId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34.57"/>
    <col customWidth="1" min="3" max="3" width="16.14"/>
    <col customWidth="1" min="4" max="24" width="10.71"/>
  </cols>
  <sheetData>
    <row r="1" ht="51.0" customHeight="1">
      <c r="A1" s="25"/>
      <c r="B1" s="26" t="s">
        <v>1</v>
      </c>
      <c r="C1" s="28" t="s">
        <v>20</v>
      </c>
      <c r="E1" s="25"/>
      <c r="F1" s="25"/>
      <c r="G1" s="25"/>
      <c r="H1" s="25"/>
      <c r="I1" s="25"/>
      <c r="J1" s="25"/>
      <c r="K1" s="25"/>
      <c r="L1" s="25"/>
      <c r="M1" s="25"/>
      <c r="N1" s="25"/>
      <c r="O1" s="25"/>
      <c r="P1" s="25"/>
      <c r="Q1" s="25"/>
      <c r="R1" s="25"/>
      <c r="S1" s="25"/>
      <c r="T1" s="25"/>
      <c r="U1" s="25"/>
      <c r="V1" s="25"/>
      <c r="W1" s="25"/>
      <c r="X1" s="25"/>
      <c r="Y1" s="25"/>
      <c r="Z1" s="25"/>
    </row>
    <row r="2" ht="14.25" customHeight="1">
      <c r="B2" s="30" t="s">
        <v>22</v>
      </c>
      <c r="C2" s="34">
        <v>45777.0</v>
      </c>
    </row>
    <row r="3" ht="14.25" customHeight="1">
      <c r="B3" s="30" t="s">
        <v>26</v>
      </c>
      <c r="C3" s="32" t="s">
        <v>27</v>
      </c>
    </row>
    <row r="4" ht="14.25" customHeight="1">
      <c r="B4" s="30" t="s">
        <v>28</v>
      </c>
      <c r="C4" s="32" t="s">
        <v>8</v>
      </c>
    </row>
    <row r="5" ht="14.25" customHeight="1"/>
    <row r="6" ht="21.0" customHeight="1">
      <c r="A6" s="33" t="s">
        <v>30</v>
      </c>
    </row>
    <row r="7" ht="15.0" customHeight="1">
      <c r="A7" s="35" t="s">
        <v>32</v>
      </c>
      <c r="B7" s="36" t="s">
        <v>40</v>
      </c>
      <c r="C7" s="36" t="s">
        <v>43</v>
      </c>
      <c r="D7" s="38" t="s">
        <v>46</v>
      </c>
    </row>
    <row r="8" ht="14.25" customHeight="1">
      <c r="A8" s="39">
        <v>1.0</v>
      </c>
      <c r="B8" s="40" t="s">
        <v>53</v>
      </c>
      <c r="C8" s="41" t="s">
        <v>54</v>
      </c>
      <c r="D8" s="42"/>
    </row>
    <row r="9" ht="14.25" customHeight="1">
      <c r="A9" s="39">
        <v>2.0</v>
      </c>
      <c r="B9" s="40" t="s">
        <v>55</v>
      </c>
      <c r="C9" s="41"/>
      <c r="D9" s="44" t="s">
        <v>56</v>
      </c>
    </row>
    <row r="10" ht="14.25" customHeight="1">
      <c r="A10" s="39">
        <v>3.0</v>
      </c>
      <c r="B10" s="40" t="s">
        <v>57</v>
      </c>
      <c r="C10" s="41" t="s">
        <v>54</v>
      </c>
      <c r="D10" s="42"/>
    </row>
    <row r="11" ht="14.25" customHeight="1">
      <c r="A11" s="39">
        <v>4.0</v>
      </c>
      <c r="B11" s="40" t="s">
        <v>58</v>
      </c>
      <c r="C11" s="41" t="s">
        <v>54</v>
      </c>
      <c r="D11" s="42"/>
    </row>
    <row r="12" ht="14.25" customHeight="1">
      <c r="A12" s="39">
        <v>5.0</v>
      </c>
      <c r="B12" s="40" t="s">
        <v>59</v>
      </c>
      <c r="C12" s="41" t="s">
        <v>54</v>
      </c>
      <c r="D12" s="42"/>
    </row>
    <row r="13" ht="14.25" customHeight="1">
      <c r="A13" s="39">
        <v>6.0</v>
      </c>
      <c r="B13" s="40" t="s">
        <v>60</v>
      </c>
      <c r="C13" s="41" t="s">
        <v>54</v>
      </c>
      <c r="D13" s="42"/>
    </row>
    <row r="14" ht="14.25" customHeight="1">
      <c r="A14" s="39">
        <v>7.0</v>
      </c>
      <c r="B14" s="40" t="s">
        <v>61</v>
      </c>
      <c r="C14" s="43" t="s">
        <v>56</v>
      </c>
      <c r="D14" s="41"/>
    </row>
    <row r="15" ht="14.25" customHeight="1">
      <c r="A15" s="39">
        <v>8.0</v>
      </c>
      <c r="B15" s="40" t="s">
        <v>62</v>
      </c>
      <c r="C15" s="41" t="s">
        <v>54</v>
      </c>
      <c r="D15" s="42"/>
    </row>
    <row r="16" ht="14.25" customHeight="1">
      <c r="A16" s="46">
        <v>9.0</v>
      </c>
      <c r="B16" s="47" t="s">
        <v>63</v>
      </c>
      <c r="C16" s="51"/>
      <c r="D16" s="48" t="s">
        <v>54</v>
      </c>
    </row>
    <row r="17" ht="14.25" customHeight="1">
      <c r="A17" s="49" t="s">
        <v>64</v>
      </c>
      <c r="C17" s="50">
        <f>COUNTA('Hoja 1'!$C$8:$C$16)</f>
        <v>7</v>
      </c>
      <c r="D17" s="50">
        <f>COUNTA('Hoja 1'!$D$8:$D$16)</f>
        <v>2</v>
      </c>
    </row>
    <row r="18" ht="14.25" customHeight="1">
      <c r="A18" s="49" t="s">
        <v>65</v>
      </c>
      <c r="C18" s="52">
        <f t="shared" ref="C18:D18" si="1">C17/9</f>
        <v>0.7777777778</v>
      </c>
      <c r="D18" s="52">
        <f t="shared" si="1"/>
        <v>0.2222222222</v>
      </c>
    </row>
    <row r="19" ht="14.25" customHeight="1">
      <c r="A19" s="49"/>
      <c r="B19" s="49"/>
      <c r="C19" s="52"/>
      <c r="D19" s="50"/>
    </row>
    <row r="20" ht="22.5" customHeight="1">
      <c r="A20" s="53" t="s">
        <v>66</v>
      </c>
      <c r="B20" s="54"/>
      <c r="C20" s="54"/>
      <c r="D20" s="54"/>
    </row>
    <row r="21" ht="19.5" customHeight="1">
      <c r="A21" s="55" t="s">
        <v>32</v>
      </c>
      <c r="B21" s="56" t="s">
        <v>40</v>
      </c>
      <c r="C21" s="57" t="s">
        <v>43</v>
      </c>
      <c r="D21" s="58" t="s">
        <v>46</v>
      </c>
    </row>
    <row r="22" ht="14.25" customHeight="1">
      <c r="A22" s="39">
        <v>1.0</v>
      </c>
      <c r="B22" s="40" t="s">
        <v>67</v>
      </c>
      <c r="C22" s="48" t="s">
        <v>54</v>
      </c>
      <c r="D22" s="42"/>
    </row>
    <row r="23" ht="14.25" customHeight="1">
      <c r="A23" s="39">
        <v>2.0</v>
      </c>
      <c r="B23" s="40" t="s">
        <v>68</v>
      </c>
      <c r="C23" s="48" t="s">
        <v>54</v>
      </c>
      <c r="D23" s="42"/>
    </row>
    <row r="24" ht="14.25" customHeight="1">
      <c r="A24" s="39">
        <v>3.0</v>
      </c>
      <c r="B24" s="40" t="s">
        <v>69</v>
      </c>
      <c r="C24" s="48" t="s">
        <v>54</v>
      </c>
    </row>
    <row r="25" ht="14.25" customHeight="1">
      <c r="A25" s="39">
        <v>4.0</v>
      </c>
      <c r="B25" s="40" t="s">
        <v>70</v>
      </c>
      <c r="C25" s="48" t="s">
        <v>54</v>
      </c>
      <c r="D25" s="42"/>
    </row>
    <row r="26" ht="14.25" customHeight="1">
      <c r="A26" s="46">
        <v>5.0</v>
      </c>
      <c r="B26" s="47" t="s">
        <v>71</v>
      </c>
      <c r="C26" s="48" t="s">
        <v>54</v>
      </c>
      <c r="D26" s="59"/>
    </row>
    <row r="27" ht="14.25" customHeight="1">
      <c r="A27" s="49" t="s">
        <v>64</v>
      </c>
      <c r="C27" s="50">
        <f>COUNTA('Hoja 1'!$C$22:$C$26)</f>
        <v>5</v>
      </c>
      <c r="D27" s="50">
        <f>COUNTA('Hoja 1'!$D$22:$D$26)</f>
        <v>0</v>
      </c>
    </row>
    <row r="28" ht="14.25" customHeight="1">
      <c r="A28" s="49" t="s">
        <v>65</v>
      </c>
      <c r="C28" s="52">
        <f t="shared" ref="C28:D28" si="2">C27/5</f>
        <v>1</v>
      </c>
      <c r="D28" s="52">
        <f t="shared" si="2"/>
        <v>0</v>
      </c>
    </row>
    <row r="29" ht="14.25" customHeight="1">
      <c r="A29" s="49"/>
      <c r="B29" s="49"/>
      <c r="C29" s="52"/>
      <c r="D29" s="50"/>
    </row>
    <row r="30" ht="21.0" customHeight="1">
      <c r="A30" s="33" t="s">
        <v>72</v>
      </c>
    </row>
    <row r="31" ht="18.75" customHeight="1">
      <c r="A31" s="55" t="s">
        <v>32</v>
      </c>
      <c r="B31" s="56" t="s">
        <v>40</v>
      </c>
      <c r="C31" s="57" t="s">
        <v>43</v>
      </c>
      <c r="D31" s="58" t="s">
        <v>46</v>
      </c>
    </row>
    <row r="32" ht="14.25" customHeight="1">
      <c r="A32" s="39">
        <v>1.0</v>
      </c>
      <c r="B32" s="40" t="s">
        <v>73</v>
      </c>
      <c r="C32" s="60" t="s">
        <v>56</v>
      </c>
      <c r="D32" s="51"/>
    </row>
    <row r="33" ht="14.25" customHeight="1">
      <c r="A33" s="39">
        <v>2.0</v>
      </c>
      <c r="B33" s="40" t="s">
        <v>74</v>
      </c>
      <c r="C33" s="51" t="s">
        <v>54</v>
      </c>
      <c r="D33" s="48"/>
    </row>
    <row r="34" ht="14.25" customHeight="1">
      <c r="A34" s="46">
        <v>3.0</v>
      </c>
      <c r="B34" s="47" t="s">
        <v>75</v>
      </c>
      <c r="C34" s="48" t="s">
        <v>54</v>
      </c>
      <c r="D34" s="48"/>
    </row>
    <row r="35" ht="14.25" customHeight="1">
      <c r="A35" s="49" t="s">
        <v>64</v>
      </c>
      <c r="C35" s="21">
        <f>COUNTA('Hoja 1'!$C$32:$C$34)</f>
        <v>3</v>
      </c>
      <c r="D35" s="21">
        <f>COUNTA('Hoja 1'!$D$32:$D$34)</f>
        <v>0</v>
      </c>
    </row>
    <row r="36" ht="14.25" customHeight="1">
      <c r="A36" s="49" t="s">
        <v>65</v>
      </c>
      <c r="C36" s="52">
        <f t="shared" ref="C36:D36" si="3">C35/3</f>
        <v>1</v>
      </c>
      <c r="D36" s="52">
        <f t="shared" si="3"/>
        <v>0</v>
      </c>
    </row>
    <row r="37" ht="14.25" customHeight="1"/>
    <row r="38" ht="14.25" customHeight="1"/>
    <row r="39" ht="14.25" customHeight="1"/>
    <row r="40" ht="14.25" customHeight="1">
      <c r="A40" s="61" t="s">
        <v>76</v>
      </c>
    </row>
    <row r="41" ht="30.0" customHeight="1">
      <c r="B41" s="25" t="s">
        <v>77</v>
      </c>
      <c r="C41" s="50">
        <v>78.0</v>
      </c>
    </row>
    <row r="42" ht="30.0" customHeight="1">
      <c r="B42" s="25" t="s">
        <v>66</v>
      </c>
      <c r="C42" s="50">
        <v>100.0</v>
      </c>
    </row>
    <row r="43" ht="30.0" customHeight="1">
      <c r="B43" s="25" t="s">
        <v>72</v>
      </c>
      <c r="C43" s="62">
        <v>100.0</v>
      </c>
    </row>
    <row r="44" ht="14.25" customHeight="1">
      <c r="C44" s="50"/>
    </row>
    <row r="45" ht="14.25" customHeight="1">
      <c r="C45" s="50"/>
    </row>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4">
    <mergeCell ref="A18:B18"/>
    <mergeCell ref="A27:B27"/>
    <mergeCell ref="A28:B28"/>
    <mergeCell ref="A30:D30"/>
    <mergeCell ref="A35:B35"/>
    <mergeCell ref="A36:B36"/>
    <mergeCell ref="A40:C40"/>
    <mergeCell ref="C1:D1"/>
    <mergeCell ref="C2:D2"/>
    <mergeCell ref="C3:D3"/>
    <mergeCell ref="C4:D4"/>
    <mergeCell ref="A6:D6"/>
    <mergeCell ref="A17:B17"/>
    <mergeCell ref="A20:D20"/>
  </mergeCells>
  <conditionalFormatting sqref="A32:D34">
    <cfRule type="containsText" dxfId="11" priority="1" operator="containsText" text="X">
      <formula>NOT(ISERROR(SEARCH(("X"),(A32))))</formula>
    </cfRule>
  </conditionalFormatting>
  <conditionalFormatting sqref="C8:D16 C22:C26 D32:D34 C33:C34">
    <cfRule type="containsText" dxfId="12" priority="2" operator="containsText" text="X">
      <formula>NOT(ISERROR(SEARCH(("X"),(C8))))</formula>
    </cfRule>
  </conditionalFormatting>
  <conditionalFormatting sqref="C8:D16 C22:C26 D32:D34 C33:C34">
    <cfRule type="containsText" dxfId="13" priority="3" operator="containsText" text="X">
      <formula>NOT(ISERROR(SEARCH(("X"),(C8))))</formula>
    </cfRule>
  </conditionalFormatting>
  <conditionalFormatting sqref="C8:D16 C22:C26 D32:D34 C33:C34">
    <cfRule type="containsText" dxfId="14" priority="4" operator="containsText" text="X">
      <formula>NOT(ISERROR(SEARCH(("X"),(C8))))</formula>
    </cfRule>
  </conditionalFormatting>
  <conditionalFormatting sqref="C8:D16 C22:C26 D32:D34 C33:C34">
    <cfRule type="containsText" dxfId="15" priority="5" operator="containsText" text="X">
      <formula>NOT(ISERROR(SEARCH(("X"),(C8))))</formula>
    </cfRule>
  </conditionalFormatting>
  <conditionalFormatting sqref="C22:D26">
    <cfRule type="containsText" dxfId="12" priority="6" operator="containsText" text="X">
      <formula>NOT(ISERROR(SEARCH(("X"),(C22))))</formula>
    </cfRule>
  </conditionalFormatting>
  <conditionalFormatting sqref="C22:D26">
    <cfRule type="containsText" dxfId="13" priority="7" operator="containsText" text="X">
      <formula>NOT(ISERROR(SEARCH(("X"),(C22))))</formula>
    </cfRule>
  </conditionalFormatting>
  <conditionalFormatting sqref="C32:D34">
    <cfRule type="containsText" dxfId="12" priority="8" operator="containsText" text="X">
      <formula>NOT(ISERROR(SEARCH(("X"),(C32))))</formula>
    </cfRule>
  </conditionalFormatting>
  <printOptions/>
  <pageMargins bottom="0.75" footer="0.0" header="0.0" left="0.7" right="0.7" top="0.75"/>
  <pageSetup paperSize="9" orientation="portrait"/>
  <drawing r:id="rId2"/>
  <legacyDrawing r:id="rId3"/>
  <tableParts count="3">
    <tablePart r:id="rId7"/>
    <tablePart r:id="rId8"/>
    <tablePart r:id="rId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34.57"/>
    <col customWidth="1" min="3" max="3" width="16.14"/>
    <col customWidth="1" min="4" max="24" width="10.71"/>
  </cols>
  <sheetData>
    <row r="1" ht="51.0" customHeight="1">
      <c r="A1" s="25"/>
      <c r="B1" s="26" t="s">
        <v>1</v>
      </c>
      <c r="C1" s="27" t="s">
        <v>2</v>
      </c>
      <c r="E1" s="25"/>
      <c r="F1" s="25"/>
      <c r="G1" s="25"/>
      <c r="H1" s="25"/>
      <c r="I1" s="25"/>
      <c r="J1" s="25"/>
      <c r="K1" s="25"/>
      <c r="L1" s="25"/>
      <c r="M1" s="25"/>
      <c r="N1" s="25"/>
      <c r="O1" s="25"/>
      <c r="P1" s="25"/>
      <c r="Q1" s="25"/>
      <c r="R1" s="25"/>
      <c r="S1" s="25"/>
      <c r="T1" s="25"/>
      <c r="U1" s="25"/>
      <c r="V1" s="25"/>
      <c r="W1" s="25"/>
      <c r="X1" s="25"/>
      <c r="Y1" s="25"/>
      <c r="Z1" s="25"/>
    </row>
    <row r="2" ht="14.25" customHeight="1">
      <c r="B2" s="30" t="s">
        <v>22</v>
      </c>
      <c r="C2" s="31">
        <v>46296.0</v>
      </c>
    </row>
    <row r="3" ht="14.25" customHeight="1">
      <c r="B3" s="30" t="s">
        <v>26</v>
      </c>
      <c r="C3" s="32" t="s">
        <v>27</v>
      </c>
    </row>
    <row r="4" ht="14.25" customHeight="1">
      <c r="B4" s="30" t="s">
        <v>28</v>
      </c>
      <c r="C4" s="32" t="s">
        <v>9</v>
      </c>
    </row>
    <row r="5" ht="14.25" customHeight="1"/>
    <row r="6" ht="24.0" customHeight="1">
      <c r="A6" s="33" t="s">
        <v>30</v>
      </c>
    </row>
    <row r="7" ht="15.0" customHeight="1">
      <c r="A7" s="35" t="s">
        <v>32</v>
      </c>
      <c r="B7" s="36" t="s">
        <v>40</v>
      </c>
      <c r="C7" s="36" t="s">
        <v>43</v>
      </c>
      <c r="D7" s="38" t="s">
        <v>46</v>
      </c>
    </row>
    <row r="8" ht="14.25" customHeight="1">
      <c r="A8" s="39">
        <v>1.0</v>
      </c>
      <c r="B8" s="40" t="s">
        <v>53</v>
      </c>
      <c r="C8" s="41" t="s">
        <v>54</v>
      </c>
      <c r="D8" s="42"/>
    </row>
    <row r="9" ht="14.25" customHeight="1">
      <c r="A9" s="39">
        <v>2.0</v>
      </c>
      <c r="B9" s="40" t="s">
        <v>55</v>
      </c>
      <c r="C9" s="41"/>
      <c r="D9" s="44" t="s">
        <v>56</v>
      </c>
    </row>
    <row r="10" ht="14.25" customHeight="1">
      <c r="A10" s="39">
        <v>3.0</v>
      </c>
      <c r="B10" s="40" t="s">
        <v>57</v>
      </c>
      <c r="C10" s="43" t="s">
        <v>54</v>
      </c>
      <c r="D10" s="44"/>
    </row>
    <row r="11" ht="14.25" customHeight="1">
      <c r="A11" s="39">
        <v>4.0</v>
      </c>
      <c r="B11" s="40" t="s">
        <v>58</v>
      </c>
      <c r="C11" s="41" t="s">
        <v>54</v>
      </c>
      <c r="D11" s="42"/>
    </row>
    <row r="12" ht="14.25" customHeight="1">
      <c r="A12" s="39">
        <v>5.0</v>
      </c>
      <c r="B12" s="40" t="s">
        <v>59</v>
      </c>
      <c r="C12" s="41" t="s">
        <v>54</v>
      </c>
      <c r="D12" s="42"/>
    </row>
    <row r="13" ht="14.25" customHeight="1">
      <c r="A13" s="39">
        <v>6.0</v>
      </c>
      <c r="B13" s="40" t="s">
        <v>60</v>
      </c>
      <c r="C13" s="41" t="s">
        <v>54</v>
      </c>
      <c r="D13" s="42"/>
    </row>
    <row r="14" ht="14.25" customHeight="1">
      <c r="A14" s="39">
        <v>7.0</v>
      </c>
      <c r="B14" s="40" t="s">
        <v>61</v>
      </c>
      <c r="C14" s="41" t="s">
        <v>54</v>
      </c>
      <c r="D14" s="42"/>
    </row>
    <row r="15" ht="14.25" customHeight="1">
      <c r="A15" s="39">
        <v>8.0</v>
      </c>
      <c r="B15" s="40" t="s">
        <v>62</v>
      </c>
      <c r="C15" s="41" t="s">
        <v>54</v>
      </c>
      <c r="D15" s="42"/>
    </row>
    <row r="16" ht="14.25" customHeight="1">
      <c r="A16" s="46">
        <v>9.0</v>
      </c>
      <c r="B16" s="47" t="s">
        <v>63</v>
      </c>
      <c r="C16" s="48"/>
      <c r="D16" s="48" t="s">
        <v>54</v>
      </c>
    </row>
    <row r="17" ht="14.25" customHeight="1">
      <c r="A17" s="49" t="s">
        <v>64</v>
      </c>
      <c r="C17" s="50">
        <f>COUNTA('Hoja 2'!$C$8:$C$16)</f>
        <v>7</v>
      </c>
      <c r="D17" s="50">
        <f>COUNTA('Hoja 2'!$D$8:$D$16)</f>
        <v>2</v>
      </c>
    </row>
    <row r="18" ht="14.25" customHeight="1">
      <c r="A18" s="49" t="s">
        <v>65</v>
      </c>
      <c r="C18" s="52">
        <f t="shared" ref="C18:D18" si="1">C17/9</f>
        <v>0.7777777778</v>
      </c>
      <c r="D18" s="52">
        <f t="shared" si="1"/>
        <v>0.2222222222</v>
      </c>
    </row>
    <row r="19" ht="14.25" customHeight="1">
      <c r="A19" s="49"/>
      <c r="B19" s="49"/>
      <c r="C19" s="52"/>
      <c r="D19" s="50"/>
    </row>
    <row r="20" ht="24.75" customHeight="1">
      <c r="A20" s="53" t="s">
        <v>66</v>
      </c>
      <c r="B20" s="54"/>
      <c r="C20" s="54"/>
      <c r="D20" s="54"/>
    </row>
    <row r="21" ht="19.5" customHeight="1">
      <c r="A21" s="55" t="s">
        <v>32</v>
      </c>
      <c r="B21" s="56" t="s">
        <v>40</v>
      </c>
      <c r="C21" s="57" t="s">
        <v>43</v>
      </c>
      <c r="D21" s="58" t="s">
        <v>46</v>
      </c>
    </row>
    <row r="22" ht="14.25" customHeight="1">
      <c r="A22" s="39">
        <v>1.0</v>
      </c>
      <c r="B22" s="40" t="s">
        <v>67</v>
      </c>
      <c r="C22" s="48" t="s">
        <v>54</v>
      </c>
      <c r="D22" s="42"/>
    </row>
    <row r="23" ht="14.25" customHeight="1">
      <c r="A23" s="39">
        <v>2.0</v>
      </c>
      <c r="B23" s="40" t="s">
        <v>68</v>
      </c>
      <c r="C23" s="48" t="s">
        <v>54</v>
      </c>
      <c r="D23" s="42"/>
    </row>
    <row r="24" ht="14.25" customHeight="1">
      <c r="A24" s="39">
        <v>3.0</v>
      </c>
      <c r="B24" s="40" t="s">
        <v>69</v>
      </c>
      <c r="C24" s="48" t="s">
        <v>54</v>
      </c>
      <c r="D24" s="42"/>
    </row>
    <row r="25" ht="14.25" customHeight="1">
      <c r="A25" s="39">
        <v>4.0</v>
      </c>
      <c r="B25" s="40" t="s">
        <v>70</v>
      </c>
      <c r="C25" s="48" t="s">
        <v>54</v>
      </c>
      <c r="D25" s="42"/>
    </row>
    <row r="26" ht="14.25" customHeight="1">
      <c r="A26" s="46">
        <v>5.0</v>
      </c>
      <c r="B26" s="47" t="s">
        <v>71</v>
      </c>
      <c r="C26" s="48" t="s">
        <v>54</v>
      </c>
      <c r="D26" s="59"/>
    </row>
    <row r="27" ht="14.25" customHeight="1">
      <c r="A27" s="49" t="s">
        <v>64</v>
      </c>
      <c r="C27" s="50">
        <f>COUNTA('Hoja 2'!$C$22:$C$26)</f>
        <v>5</v>
      </c>
      <c r="D27" s="50">
        <f>COUNTA('Hoja 2'!$D$22:$D$26)</f>
        <v>0</v>
      </c>
    </row>
    <row r="28" ht="14.25" customHeight="1">
      <c r="A28" s="49" t="s">
        <v>65</v>
      </c>
      <c r="C28" s="52">
        <f t="shared" ref="C28:D28" si="2">C27/5</f>
        <v>1</v>
      </c>
      <c r="D28" s="52">
        <f t="shared" si="2"/>
        <v>0</v>
      </c>
    </row>
    <row r="29" ht="14.25" customHeight="1">
      <c r="A29" s="49"/>
      <c r="B29" s="49"/>
      <c r="C29" s="52"/>
      <c r="D29" s="50"/>
    </row>
    <row r="30" ht="24.75" customHeight="1">
      <c r="A30" s="33" t="s">
        <v>72</v>
      </c>
    </row>
    <row r="31" ht="24.0" customHeight="1">
      <c r="A31" s="55" t="s">
        <v>32</v>
      </c>
      <c r="B31" s="56" t="s">
        <v>40</v>
      </c>
      <c r="C31" s="57" t="s">
        <v>43</v>
      </c>
      <c r="D31" s="58" t="s">
        <v>46</v>
      </c>
    </row>
    <row r="32" ht="14.25" customHeight="1">
      <c r="A32" s="39">
        <v>1.0</v>
      </c>
      <c r="B32" s="40" t="s">
        <v>73</v>
      </c>
      <c r="C32" s="48"/>
      <c r="D32" s="51" t="s">
        <v>54</v>
      </c>
    </row>
    <row r="33" ht="14.25" customHeight="1">
      <c r="A33" s="39">
        <v>2.0</v>
      </c>
      <c r="B33" s="40" t="s">
        <v>74</v>
      </c>
      <c r="C33" s="48" t="s">
        <v>54</v>
      </c>
      <c r="D33" s="48"/>
    </row>
    <row r="34" ht="14.25" customHeight="1">
      <c r="A34" s="46">
        <v>3.0</v>
      </c>
      <c r="B34" s="47" t="s">
        <v>75</v>
      </c>
      <c r="C34" s="48" t="s">
        <v>54</v>
      </c>
      <c r="D34" s="48"/>
    </row>
    <row r="35" ht="14.25" customHeight="1">
      <c r="A35" s="49" t="s">
        <v>64</v>
      </c>
      <c r="C35" s="21">
        <f>COUNTA('Hoja 2'!$C$32:$C$34)</f>
        <v>2</v>
      </c>
      <c r="D35" s="21">
        <f>COUNTA('Hoja 2'!$D$32:$D$34)</f>
        <v>1</v>
      </c>
    </row>
    <row r="36" ht="14.25" customHeight="1">
      <c r="A36" s="49" t="s">
        <v>65</v>
      </c>
      <c r="C36" s="52">
        <f t="shared" ref="C36:D36" si="3">C35/3</f>
        <v>0.6666666667</v>
      </c>
      <c r="D36" s="52">
        <f t="shared" si="3"/>
        <v>0.3333333333</v>
      </c>
    </row>
    <row r="37" ht="14.25" customHeight="1"/>
    <row r="38" ht="14.25" customHeight="1"/>
    <row r="39" ht="14.25" customHeight="1"/>
    <row r="40" ht="14.25" customHeight="1">
      <c r="A40" s="61" t="s">
        <v>76</v>
      </c>
    </row>
    <row r="41" ht="30.0" customHeight="1">
      <c r="B41" s="25" t="s">
        <v>77</v>
      </c>
      <c r="C41" s="62">
        <v>67.0</v>
      </c>
    </row>
    <row r="42" ht="30.0" customHeight="1">
      <c r="B42" s="25" t="s">
        <v>66</v>
      </c>
      <c r="C42" s="50">
        <v>100.0</v>
      </c>
    </row>
    <row r="43" ht="30.0" customHeight="1">
      <c r="B43" s="25" t="s">
        <v>72</v>
      </c>
      <c r="C43" s="50">
        <v>100.0</v>
      </c>
    </row>
    <row r="44" ht="14.25" customHeight="1">
      <c r="C44" s="50"/>
    </row>
    <row r="45" ht="14.25" customHeight="1">
      <c r="C45" s="50"/>
    </row>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4">
    <mergeCell ref="A18:B18"/>
    <mergeCell ref="A27:B27"/>
    <mergeCell ref="A28:B28"/>
    <mergeCell ref="A30:D30"/>
    <mergeCell ref="A35:B35"/>
    <mergeCell ref="A36:B36"/>
    <mergeCell ref="A40:C40"/>
    <mergeCell ref="C1:D1"/>
    <mergeCell ref="C2:D2"/>
    <mergeCell ref="C3:D3"/>
    <mergeCell ref="C4:D4"/>
    <mergeCell ref="A6:D6"/>
    <mergeCell ref="A17:B17"/>
    <mergeCell ref="A20:D20"/>
  </mergeCells>
  <conditionalFormatting sqref="A32:D34">
    <cfRule type="containsText" dxfId="11" priority="1" operator="containsText" text="X">
      <formula>NOT(ISERROR(SEARCH(("X"),(A32))))</formula>
    </cfRule>
  </conditionalFormatting>
  <conditionalFormatting sqref="C8:D16 C22:C26 C32:D34">
    <cfRule type="containsText" dxfId="12" priority="2" operator="containsText" text="X">
      <formula>NOT(ISERROR(SEARCH(("X"),(C8))))</formula>
    </cfRule>
  </conditionalFormatting>
  <conditionalFormatting sqref="C8:D16 C22:C26 C32:D34">
    <cfRule type="containsText" dxfId="13" priority="3" operator="containsText" text="X">
      <formula>NOT(ISERROR(SEARCH(("X"),(C8))))</formula>
    </cfRule>
  </conditionalFormatting>
  <conditionalFormatting sqref="C8:D16 C22:C26 C32:D34">
    <cfRule type="containsText" dxfId="14" priority="4" operator="containsText" text="X">
      <formula>NOT(ISERROR(SEARCH(("X"),(C8))))</formula>
    </cfRule>
  </conditionalFormatting>
  <conditionalFormatting sqref="C8:D16 C22:C26 C32:D34">
    <cfRule type="containsText" dxfId="15" priority="5" operator="containsText" text="X">
      <formula>NOT(ISERROR(SEARCH(("X"),(C8))))</formula>
    </cfRule>
  </conditionalFormatting>
  <conditionalFormatting sqref="C22:D26">
    <cfRule type="containsText" dxfId="12" priority="6" operator="containsText" text="X">
      <formula>NOT(ISERROR(SEARCH(("X"),(C22))))</formula>
    </cfRule>
  </conditionalFormatting>
  <conditionalFormatting sqref="C22:D26">
    <cfRule type="containsText" dxfId="13" priority="7" operator="containsText" text="X">
      <formula>NOT(ISERROR(SEARCH(("X"),(C22))))</formula>
    </cfRule>
  </conditionalFormatting>
  <conditionalFormatting sqref="C32:D34">
    <cfRule type="containsText" dxfId="12" priority="8" operator="containsText" text="X">
      <formula>NOT(ISERROR(SEARCH(("X"),(C32))))</formula>
    </cfRule>
  </conditionalFormatting>
  <printOptions/>
  <pageMargins bottom="0.75" footer="0.0" header="0.0" left="0.7" right="0.7" top="0.75"/>
  <pageSetup paperSize="9" orientation="portrait"/>
  <drawing r:id="rId2"/>
  <legacyDrawing r:id="rId3"/>
  <tableParts count="3">
    <tablePart r:id="rId7"/>
    <tablePart r:id="rId8"/>
    <tablePart r:id="rId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53.57"/>
    <col customWidth="1" min="2" max="2" width="57.29"/>
    <col customWidth="1" min="3" max="6" width="10.71"/>
  </cols>
  <sheetData>
    <row r="1" ht="14.25" customHeight="1">
      <c r="A1" s="64" t="s">
        <v>79</v>
      </c>
      <c r="B1" s="65" t="s">
        <v>81</v>
      </c>
    </row>
    <row r="2" ht="14.25" customHeight="1">
      <c r="A2" s="66" t="s">
        <v>82</v>
      </c>
      <c r="B2" s="67" t="s">
        <v>83</v>
      </c>
    </row>
    <row r="3" ht="14.25" customHeight="1">
      <c r="A3" s="68" t="s">
        <v>84</v>
      </c>
      <c r="B3" s="67" t="s">
        <v>85</v>
      </c>
    </row>
    <row r="4" ht="14.25" customHeight="1">
      <c r="A4" s="68" t="s">
        <v>86</v>
      </c>
      <c r="B4" s="67" t="s">
        <v>87</v>
      </c>
    </row>
    <row r="5" ht="14.25" customHeight="1">
      <c r="A5" s="13" t="s">
        <v>88</v>
      </c>
      <c r="B5" s="67" t="s">
        <v>89</v>
      </c>
    </row>
    <row r="6" ht="14.25" customHeight="1">
      <c r="A6" s="69" t="s">
        <v>90</v>
      </c>
      <c r="B6" s="69" t="s">
        <v>91</v>
      </c>
    </row>
    <row r="7" ht="14.25" customHeight="1">
      <c r="A7" s="70" t="s">
        <v>92</v>
      </c>
    </row>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printOptions/>
  <pageMargins bottom="0.75" footer="0.0" header="0.0" left="0.7" right="0.7" top="0.75"/>
  <pageSetup orientation="landscape"/>
  <drawing r:id="rId1"/>
</worksheet>
</file>